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Jahresübersicht" sheetId="2" state="visible" r:id="rId2"/>
    <sheet name="Januar 2026" sheetId="3" state="visible" r:id="rId3"/>
    <sheet name="Februar 2026" sheetId="4" state="visible" r:id="rId4"/>
    <sheet name="März 2026" sheetId="5" state="visible" r:id="rId5"/>
    <sheet name="April 2026" sheetId="6" state="visible" r:id="rId6"/>
    <sheet name="Mai 2026" sheetId="7" state="visible" r:id="rId7"/>
    <sheet name="Juni 2026" sheetId="8" state="visible" r:id="rId8"/>
    <sheet name="Juli 2026" sheetId="9" state="visible" r:id="rId9"/>
    <sheet name="August 2026" sheetId="10" state="visible" r:id="rId10"/>
    <sheet name="September 2026" sheetId="11" state="visible" r:id="rId11"/>
    <sheet name="Oktober 2026" sheetId="12" state="visible" r:id="rId12"/>
    <sheet name="November 2026" sheetId="13" state="visible" r:id="rId13"/>
    <sheet name="Dezember 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305496"/>
      <sz val="16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1F4E78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6100"/>
      <sz val="10"/>
    </font>
    <font>
      <name val="Arial"/>
      <color rgb="001F4E78"/>
      <sz val="10"/>
    </font>
    <font>
      <name val="Arial"/>
      <color rgb="009C0006"/>
      <sz val="10"/>
    </font>
    <font>
      <name val="Arial"/>
      <i val="1"/>
      <color rgb="00808080"/>
      <sz val="9"/>
    </font>
    <font>
      <name val="Arial"/>
      <b val="1"/>
      <color rgb="00FFFFFF"/>
      <sz val="14"/>
    </font>
    <font>
      <name val="Arial"/>
      <color rgb="000000FF"/>
      <sz val="10"/>
    </font>
  </fonts>
  <fills count="12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7" borderId="0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11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165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7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1F4E78"/>
        <sz val="10"/>
      </font>
      <fill>
        <patternFill patternType="solid">
          <fgColor rgb="00BDD7E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Bürobelegungsplaner 2026 – Anleitung</t>
        </is>
      </c>
    </row>
    <row r="2">
      <c r="A2" s="2" t="inlineStr"/>
    </row>
    <row r="3">
      <c r="A3" s="2" t="inlineStr">
        <is>
          <t>So funktioniert der Planer:</t>
        </is>
      </c>
    </row>
    <row r="4">
      <c r="A4" s="2" t="inlineStr">
        <is>
          <t>1. Trage die Namen deiner Mitarbeitenden EINMALIG im Tab 'Jahresübersicht' (Spalte 'Mitarbeiter') ein.</t>
        </is>
      </c>
    </row>
    <row r="5">
      <c r="A5" s="2" t="inlineStr">
        <is>
          <t xml:space="preserve">   Die Namen erscheinen dann automatisch in allen 12 Monats-Tabs.</t>
        </is>
      </c>
    </row>
    <row r="6">
      <c r="A6" s="2" t="inlineStr">
        <is>
          <t>2. Öffne den jeweiligen Monats-Tab (Januar–Dezember).</t>
        </is>
      </c>
    </row>
    <row r="7">
      <c r="A7" s="2" t="inlineStr">
        <is>
          <t>3. Klicke in die Zelle beim passenden Tag und wähle aus dem Dropdown den Status aus.</t>
        </is>
      </c>
    </row>
    <row r="8">
      <c r="A8" s="2" t="inlineStr">
        <is>
          <t>4. Die Zelle färbt sich automatisch passend ein.</t>
        </is>
      </c>
    </row>
    <row r="9">
      <c r="A9" s="2" t="inlineStr"/>
    </row>
    <row r="10">
      <c r="A10" s="2" t="inlineStr">
        <is>
          <t>Status-Legende (Auswahl per Dropdown):</t>
        </is>
      </c>
    </row>
    <row r="11">
      <c r="A11" s="3" t="inlineStr">
        <is>
          <t>Büro</t>
        </is>
      </c>
      <c r="B11" s="2" t="inlineStr">
        <is>
          <t>Mitarbeiter/in ist an diesem Tag im Büro anwesend.</t>
        </is>
      </c>
    </row>
    <row r="12">
      <c r="A12" s="4" t="inlineStr">
        <is>
          <t>Homeoffice</t>
        </is>
      </c>
      <c r="B12" s="2" t="inlineStr">
        <is>
          <t>Mitarbeiter/in arbeitet an diesem Tag von zu Hause.</t>
        </is>
      </c>
    </row>
    <row r="13">
      <c r="A13" s="5" t="inlineStr">
        <is>
          <t>Krank</t>
        </is>
      </c>
      <c r="B13" s="2" t="inlineStr">
        <is>
          <t>Mitarbeiter/in ist krankgemeldet.</t>
        </is>
      </c>
    </row>
    <row r="14">
      <c r="A14" s="6" t="inlineStr">
        <is>
          <t>Urlaub</t>
        </is>
      </c>
      <c r="B14" s="2" t="inlineStr">
        <is>
          <t>Mitarbeiter/in ist im Urlaub / abwesend.</t>
        </is>
      </c>
    </row>
    <row r="16">
      <c r="A16" s="7" t="inlineStr">
        <is>
          <t>Beispiel (so sieht ein ausgefüllter Tag aus):</t>
        </is>
      </c>
    </row>
    <row r="17">
      <c r="A17" s="8" t="inlineStr">
        <is>
          <t>Datum</t>
        </is>
      </c>
      <c r="B17" s="8" t="inlineStr">
        <is>
          <t>Wochentag</t>
        </is>
      </c>
      <c r="C17" s="8" t="inlineStr">
        <is>
          <t>Anna</t>
        </is>
      </c>
      <c r="D17" s="8" t="inlineStr">
        <is>
          <t>Ben</t>
        </is>
      </c>
      <c r="E17" s="8" t="inlineStr">
        <is>
          <t>Clara</t>
        </is>
      </c>
    </row>
    <row r="18">
      <c r="A18" s="9" t="inlineStr">
        <is>
          <t>Mo, 05.01.2026</t>
        </is>
      </c>
      <c r="B18" s="9" t="inlineStr">
        <is>
          <t>Montag</t>
        </is>
      </c>
      <c r="C18" s="10" t="inlineStr">
        <is>
          <t>Büro</t>
        </is>
      </c>
      <c r="D18" s="11" t="inlineStr">
        <is>
          <t>Homeoffice</t>
        </is>
      </c>
      <c r="E18" s="12" t="inlineStr">
        <is>
          <t>Krank</t>
        </is>
      </c>
    </row>
    <row r="20">
      <c r="A20" s="13" t="inlineStr">
        <is>
          <t>Hinweis: Wochenenden sind grau, bundesweite Feiertage 2026 sind orange hinterlegt (regionale Feiertage sind nicht berücksichtigt).</t>
        </is>
      </c>
    </row>
    <row r="21">
      <c r="A21" s="13" t="inlineStr">
        <is>
          <t>Die Spalte 'Im Büro (Anzahl)' zählt automatisch, wie viele Personen an dem Tag im Büro sind.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4" t="inlineStr">
        <is>
          <t>Jahresübersicht 2026</t>
        </is>
      </c>
    </row>
    <row r="2">
      <c r="A2" s="13" t="inlineStr">
        <is>
          <t>Namen hier eintragen (blau) – sie erscheinen automatisch in allen Monats-Tabs. Summen rechts berechnen sich automatisch.</t>
        </is>
      </c>
    </row>
    <row r="3">
      <c r="A3" s="8" t="inlineStr">
        <is>
          <t>Mitarbeiter</t>
        </is>
      </c>
      <c r="B3" s="8" t="inlineStr">
        <is>
          <t>Büro</t>
        </is>
      </c>
      <c r="C3" s="8" t="inlineStr">
        <is>
          <t>Homeoffice</t>
        </is>
      </c>
      <c r="D3" s="8" t="inlineStr">
        <is>
          <t>Krank</t>
        </is>
      </c>
      <c r="E3" s="8" t="inlineStr">
        <is>
          <t>Urlaub</t>
        </is>
      </c>
      <c r="F3" s="8" t="inlineStr">
        <is>
          <t>Erfasst gesamt</t>
        </is>
      </c>
    </row>
    <row r="4">
      <c r="A4" s="15" t="inlineStr">
        <is>
          <t>Anna Beispiel</t>
        </is>
      </c>
      <c r="B4" s="16">
        <f>COUNTIF('Januar 2026'!C$5:C$35,"Büro")+COUNTIF('Februar 2026'!C$5:C$32,"Büro")+COUNTIF('März 2026'!C$5:C$35,"Büro")+COUNTIF('April 2026'!C$5:C$34,"Büro")+COUNTIF('Mai 2026'!C$5:C$35,"Büro")+COUNTIF('Juni 2026'!C$5:C$34,"Büro")+COUNTIF('Juli 2026'!C$5:C$35,"Büro")+COUNTIF('August 2026'!C$5:C$35,"Büro")+COUNTIF('September 2026'!C$5:C$34,"Büro")+COUNTIF('Oktober 2026'!C$5:C$35,"Büro")+COUNTIF('November 2026'!C$5:C$34,"Büro")+COUNTIF('Dezember 2026'!C$5:C$35,"Büro")</f>
        <v/>
      </c>
      <c r="C4" s="16">
        <f>COUNTIF('Januar 2026'!C$5:C$35,"Homeoffice")+COUNTIF('Februar 2026'!C$5:C$32,"Homeoffice")+COUNTIF('März 2026'!C$5:C$35,"Homeoffice")+COUNTIF('April 2026'!C$5:C$34,"Homeoffice")+COUNTIF('Mai 2026'!C$5:C$35,"Homeoffice")+COUNTIF('Juni 2026'!C$5:C$34,"Homeoffice")+COUNTIF('Juli 2026'!C$5:C$35,"Homeoffice")+COUNTIF('August 2026'!C$5:C$35,"Homeoffice")+COUNTIF('September 2026'!C$5:C$34,"Homeoffice")+COUNTIF('Oktober 2026'!C$5:C$35,"Homeoffice")+COUNTIF('November 2026'!C$5:C$34,"Homeoffice")+COUNTIF('Dezember 2026'!C$5:C$35,"Homeoffice")</f>
        <v/>
      </c>
      <c r="D4" s="16">
        <f>COUNTIF('Januar 2026'!C$5:C$35,"Krank")+COUNTIF('Februar 2026'!C$5:C$32,"Krank")+COUNTIF('März 2026'!C$5:C$35,"Krank")+COUNTIF('April 2026'!C$5:C$34,"Krank")+COUNTIF('Mai 2026'!C$5:C$35,"Krank")+COUNTIF('Juni 2026'!C$5:C$34,"Krank")+COUNTIF('Juli 2026'!C$5:C$35,"Krank")+COUNTIF('August 2026'!C$5:C$35,"Krank")+COUNTIF('September 2026'!C$5:C$34,"Krank")+COUNTIF('Oktober 2026'!C$5:C$35,"Krank")+COUNTIF('November 2026'!C$5:C$34,"Krank")+COUNTIF('Dezember 2026'!C$5:C$35,"Krank")</f>
        <v/>
      </c>
      <c r="E4" s="16">
        <f>COUNTIF('Januar 2026'!C$5:C$35,"Urlaub")+COUNTIF('Februar 2026'!C$5:C$32,"Urlaub")+COUNTIF('März 2026'!C$5:C$35,"Urlaub")+COUNTIF('April 2026'!C$5:C$34,"Urlaub")+COUNTIF('Mai 2026'!C$5:C$35,"Urlaub")+COUNTIF('Juni 2026'!C$5:C$34,"Urlaub")+COUNTIF('Juli 2026'!C$5:C$35,"Urlaub")+COUNTIF('August 2026'!C$5:C$35,"Urlaub")+COUNTIF('September 2026'!C$5:C$34,"Urlaub")+COUNTIF('Oktober 2026'!C$5:C$35,"Urlaub")+COUNTIF('November 2026'!C$5:C$34,"Urlaub")+COUNTIF('Dezember 2026'!C$5:C$35,"Urlaub")</f>
        <v/>
      </c>
      <c r="F4" s="17">
        <f>SUM(B4:E4)</f>
        <v/>
      </c>
    </row>
    <row r="5">
      <c r="A5" s="15" t="inlineStr">
        <is>
          <t>Ben Muster</t>
        </is>
      </c>
      <c r="B5" s="16">
        <f>COUNTIF('Januar 2026'!D$5:D$35,"Büro")+COUNTIF('Februar 2026'!D$5:D$32,"Büro")+COUNTIF('März 2026'!D$5:D$35,"Büro")+COUNTIF('April 2026'!D$5:D$34,"Büro")+COUNTIF('Mai 2026'!D$5:D$35,"Büro")+COUNTIF('Juni 2026'!D$5:D$34,"Büro")+COUNTIF('Juli 2026'!D$5:D$35,"Büro")+COUNTIF('August 2026'!D$5:D$35,"Büro")+COUNTIF('September 2026'!D$5:D$34,"Büro")+COUNTIF('Oktober 2026'!D$5:D$35,"Büro")+COUNTIF('November 2026'!D$5:D$34,"Büro")+COUNTIF('Dezember 2026'!D$5:D$35,"Büro")</f>
        <v/>
      </c>
      <c r="C5" s="16">
        <f>COUNTIF('Januar 2026'!D$5:D$35,"Homeoffice")+COUNTIF('Februar 2026'!D$5:D$32,"Homeoffice")+COUNTIF('März 2026'!D$5:D$35,"Homeoffice")+COUNTIF('April 2026'!D$5:D$34,"Homeoffice")+COUNTIF('Mai 2026'!D$5:D$35,"Homeoffice")+COUNTIF('Juni 2026'!D$5:D$34,"Homeoffice")+COUNTIF('Juli 2026'!D$5:D$35,"Homeoffice")+COUNTIF('August 2026'!D$5:D$35,"Homeoffice")+COUNTIF('September 2026'!D$5:D$34,"Homeoffice")+COUNTIF('Oktober 2026'!D$5:D$35,"Homeoffice")+COUNTIF('November 2026'!D$5:D$34,"Homeoffice")+COUNTIF('Dezember 2026'!D$5:D$35,"Homeoffice")</f>
        <v/>
      </c>
      <c r="D5" s="16">
        <f>COUNTIF('Januar 2026'!D$5:D$35,"Krank")+COUNTIF('Februar 2026'!D$5:D$32,"Krank")+COUNTIF('März 2026'!D$5:D$35,"Krank")+COUNTIF('April 2026'!D$5:D$34,"Krank")+COUNTIF('Mai 2026'!D$5:D$35,"Krank")+COUNTIF('Juni 2026'!D$5:D$34,"Krank")+COUNTIF('Juli 2026'!D$5:D$35,"Krank")+COUNTIF('August 2026'!D$5:D$35,"Krank")+COUNTIF('September 2026'!D$5:D$34,"Krank")+COUNTIF('Oktober 2026'!D$5:D$35,"Krank")+COUNTIF('November 2026'!D$5:D$34,"Krank")+COUNTIF('Dezember 2026'!D$5:D$35,"Krank")</f>
        <v/>
      </c>
      <c r="E5" s="16">
        <f>COUNTIF('Januar 2026'!D$5:D$35,"Urlaub")+COUNTIF('Februar 2026'!D$5:D$32,"Urlaub")+COUNTIF('März 2026'!D$5:D$35,"Urlaub")+COUNTIF('April 2026'!D$5:D$34,"Urlaub")+COUNTIF('Mai 2026'!D$5:D$35,"Urlaub")+COUNTIF('Juni 2026'!D$5:D$34,"Urlaub")+COUNTIF('Juli 2026'!D$5:D$35,"Urlaub")+COUNTIF('August 2026'!D$5:D$35,"Urlaub")+COUNTIF('September 2026'!D$5:D$34,"Urlaub")+COUNTIF('Oktober 2026'!D$5:D$35,"Urlaub")+COUNTIF('November 2026'!D$5:D$34,"Urlaub")+COUNTIF('Dezember 2026'!D$5:D$35,"Urlaub")</f>
        <v/>
      </c>
      <c r="F5" s="17">
        <f>SUM(B5:E5)</f>
        <v/>
      </c>
    </row>
    <row r="6">
      <c r="A6" s="15" t="inlineStr">
        <is>
          <t>Clara Test</t>
        </is>
      </c>
      <c r="B6" s="16">
        <f>COUNTIF('Januar 2026'!E$5:E$35,"Büro")+COUNTIF('Februar 2026'!E$5:E$32,"Büro")+COUNTIF('März 2026'!E$5:E$35,"Büro")+COUNTIF('April 2026'!E$5:E$34,"Büro")+COUNTIF('Mai 2026'!E$5:E$35,"Büro")+COUNTIF('Juni 2026'!E$5:E$34,"Büro")+COUNTIF('Juli 2026'!E$5:E$35,"Büro")+COUNTIF('August 2026'!E$5:E$35,"Büro")+COUNTIF('September 2026'!E$5:E$34,"Büro")+COUNTIF('Oktober 2026'!E$5:E$35,"Büro")+COUNTIF('November 2026'!E$5:E$34,"Büro")+COUNTIF('Dezember 2026'!E$5:E$35,"Büro")</f>
        <v/>
      </c>
      <c r="C6" s="16">
        <f>COUNTIF('Januar 2026'!E$5:E$35,"Homeoffice")+COUNTIF('Februar 2026'!E$5:E$32,"Homeoffice")+COUNTIF('März 2026'!E$5:E$35,"Homeoffice")+COUNTIF('April 2026'!E$5:E$34,"Homeoffice")+COUNTIF('Mai 2026'!E$5:E$35,"Homeoffice")+COUNTIF('Juni 2026'!E$5:E$34,"Homeoffice")+COUNTIF('Juli 2026'!E$5:E$35,"Homeoffice")+COUNTIF('August 2026'!E$5:E$35,"Homeoffice")+COUNTIF('September 2026'!E$5:E$34,"Homeoffice")+COUNTIF('Oktober 2026'!E$5:E$35,"Homeoffice")+COUNTIF('November 2026'!E$5:E$34,"Homeoffice")+COUNTIF('Dezember 2026'!E$5:E$35,"Homeoffice")</f>
        <v/>
      </c>
      <c r="D6" s="16">
        <f>COUNTIF('Januar 2026'!E$5:E$35,"Krank")+COUNTIF('Februar 2026'!E$5:E$32,"Krank")+COUNTIF('März 2026'!E$5:E$35,"Krank")+COUNTIF('April 2026'!E$5:E$34,"Krank")+COUNTIF('Mai 2026'!E$5:E$35,"Krank")+COUNTIF('Juni 2026'!E$5:E$34,"Krank")+COUNTIF('Juli 2026'!E$5:E$35,"Krank")+COUNTIF('August 2026'!E$5:E$35,"Krank")+COUNTIF('September 2026'!E$5:E$34,"Krank")+COUNTIF('Oktober 2026'!E$5:E$35,"Krank")+COUNTIF('November 2026'!E$5:E$34,"Krank")+COUNTIF('Dezember 2026'!E$5:E$35,"Krank")</f>
        <v/>
      </c>
      <c r="E6" s="16">
        <f>COUNTIF('Januar 2026'!E$5:E$35,"Urlaub")+COUNTIF('Februar 2026'!E$5:E$32,"Urlaub")+COUNTIF('März 2026'!E$5:E$35,"Urlaub")+COUNTIF('April 2026'!E$5:E$34,"Urlaub")+COUNTIF('Mai 2026'!E$5:E$35,"Urlaub")+COUNTIF('Juni 2026'!E$5:E$34,"Urlaub")+COUNTIF('Juli 2026'!E$5:E$35,"Urlaub")+COUNTIF('August 2026'!E$5:E$35,"Urlaub")+COUNTIF('September 2026'!E$5:E$34,"Urlaub")+COUNTIF('Oktober 2026'!E$5:E$35,"Urlaub")+COUNTIF('November 2026'!E$5:E$34,"Urlaub")+COUNTIF('Dezember 2026'!E$5:E$35,"Urlaub")</f>
        <v/>
      </c>
      <c r="F6" s="17">
        <f>SUM(B6:E6)</f>
        <v/>
      </c>
    </row>
    <row r="7">
      <c r="A7" s="15" t="inlineStr">
        <is>
          <t>Mitarbeiter 4</t>
        </is>
      </c>
      <c r="B7" s="16">
        <f>COUNTIF('Januar 2026'!F$5:F$35,"Büro")+COUNTIF('Februar 2026'!F$5:F$32,"Büro")+COUNTIF('März 2026'!F$5:F$35,"Büro")+COUNTIF('April 2026'!F$5:F$34,"Büro")+COUNTIF('Mai 2026'!F$5:F$35,"Büro")+COUNTIF('Juni 2026'!F$5:F$34,"Büro")+COUNTIF('Juli 2026'!F$5:F$35,"Büro")+COUNTIF('August 2026'!F$5:F$35,"Büro")+COUNTIF('September 2026'!F$5:F$34,"Büro")+COUNTIF('Oktober 2026'!F$5:F$35,"Büro")+COUNTIF('November 2026'!F$5:F$34,"Büro")+COUNTIF('Dezember 2026'!F$5:F$35,"Büro")</f>
        <v/>
      </c>
      <c r="C7" s="16">
        <f>COUNTIF('Januar 2026'!F$5:F$35,"Homeoffice")+COUNTIF('Februar 2026'!F$5:F$32,"Homeoffice")+COUNTIF('März 2026'!F$5:F$35,"Homeoffice")+COUNTIF('April 2026'!F$5:F$34,"Homeoffice")+COUNTIF('Mai 2026'!F$5:F$35,"Homeoffice")+COUNTIF('Juni 2026'!F$5:F$34,"Homeoffice")+COUNTIF('Juli 2026'!F$5:F$35,"Homeoffice")+COUNTIF('August 2026'!F$5:F$35,"Homeoffice")+COUNTIF('September 2026'!F$5:F$34,"Homeoffice")+COUNTIF('Oktober 2026'!F$5:F$35,"Homeoffice")+COUNTIF('November 2026'!F$5:F$34,"Homeoffice")+COUNTIF('Dezember 2026'!F$5:F$35,"Homeoffice")</f>
        <v/>
      </c>
      <c r="D7" s="16">
        <f>COUNTIF('Januar 2026'!F$5:F$35,"Krank")+COUNTIF('Februar 2026'!F$5:F$32,"Krank")+COUNTIF('März 2026'!F$5:F$35,"Krank")+COUNTIF('April 2026'!F$5:F$34,"Krank")+COUNTIF('Mai 2026'!F$5:F$35,"Krank")+COUNTIF('Juni 2026'!F$5:F$34,"Krank")+COUNTIF('Juli 2026'!F$5:F$35,"Krank")+COUNTIF('August 2026'!F$5:F$35,"Krank")+COUNTIF('September 2026'!F$5:F$34,"Krank")+COUNTIF('Oktober 2026'!F$5:F$35,"Krank")+COUNTIF('November 2026'!F$5:F$34,"Krank")+COUNTIF('Dezember 2026'!F$5:F$35,"Krank")</f>
        <v/>
      </c>
      <c r="E7" s="16">
        <f>COUNTIF('Januar 2026'!F$5:F$35,"Urlaub")+COUNTIF('Februar 2026'!F$5:F$32,"Urlaub")+COUNTIF('März 2026'!F$5:F$35,"Urlaub")+COUNTIF('April 2026'!F$5:F$34,"Urlaub")+COUNTIF('Mai 2026'!F$5:F$35,"Urlaub")+COUNTIF('Juni 2026'!F$5:F$34,"Urlaub")+COUNTIF('Juli 2026'!F$5:F$35,"Urlaub")+COUNTIF('August 2026'!F$5:F$35,"Urlaub")+COUNTIF('September 2026'!F$5:F$34,"Urlaub")+COUNTIF('Oktober 2026'!F$5:F$35,"Urlaub")+COUNTIF('November 2026'!F$5:F$34,"Urlaub")+COUNTIF('Dezember 2026'!F$5:F$35,"Urlaub")</f>
        <v/>
      </c>
      <c r="F7" s="17">
        <f>SUM(B7:E7)</f>
        <v/>
      </c>
    </row>
    <row r="8">
      <c r="A8" s="15" t="inlineStr">
        <is>
          <t>Mitarbeiter 5</t>
        </is>
      </c>
      <c r="B8" s="16">
        <f>COUNTIF('Januar 2026'!G$5:G$35,"Büro")+COUNTIF('Februar 2026'!G$5:G$32,"Büro")+COUNTIF('März 2026'!G$5:G$35,"Büro")+COUNTIF('April 2026'!G$5:G$34,"Büro")+COUNTIF('Mai 2026'!G$5:G$35,"Büro")+COUNTIF('Juni 2026'!G$5:G$34,"Büro")+COUNTIF('Juli 2026'!G$5:G$35,"Büro")+COUNTIF('August 2026'!G$5:G$35,"Büro")+COUNTIF('September 2026'!G$5:G$34,"Büro")+COUNTIF('Oktober 2026'!G$5:G$35,"Büro")+COUNTIF('November 2026'!G$5:G$34,"Büro")+COUNTIF('Dezember 2026'!G$5:G$35,"Büro")</f>
        <v/>
      </c>
      <c r="C8" s="16">
        <f>COUNTIF('Januar 2026'!G$5:G$35,"Homeoffice")+COUNTIF('Februar 2026'!G$5:G$32,"Homeoffice")+COUNTIF('März 2026'!G$5:G$35,"Homeoffice")+COUNTIF('April 2026'!G$5:G$34,"Homeoffice")+COUNTIF('Mai 2026'!G$5:G$35,"Homeoffice")+COUNTIF('Juni 2026'!G$5:G$34,"Homeoffice")+COUNTIF('Juli 2026'!G$5:G$35,"Homeoffice")+COUNTIF('August 2026'!G$5:G$35,"Homeoffice")+COUNTIF('September 2026'!G$5:G$34,"Homeoffice")+COUNTIF('Oktober 2026'!G$5:G$35,"Homeoffice")+COUNTIF('November 2026'!G$5:G$34,"Homeoffice")+COUNTIF('Dezember 2026'!G$5:G$35,"Homeoffice")</f>
        <v/>
      </c>
      <c r="D8" s="16">
        <f>COUNTIF('Januar 2026'!G$5:G$35,"Krank")+COUNTIF('Februar 2026'!G$5:G$32,"Krank")+COUNTIF('März 2026'!G$5:G$35,"Krank")+COUNTIF('April 2026'!G$5:G$34,"Krank")+COUNTIF('Mai 2026'!G$5:G$35,"Krank")+COUNTIF('Juni 2026'!G$5:G$34,"Krank")+COUNTIF('Juli 2026'!G$5:G$35,"Krank")+COUNTIF('August 2026'!G$5:G$35,"Krank")+COUNTIF('September 2026'!G$5:G$34,"Krank")+COUNTIF('Oktober 2026'!G$5:G$35,"Krank")+COUNTIF('November 2026'!G$5:G$34,"Krank")+COUNTIF('Dezember 2026'!G$5:G$35,"Krank")</f>
        <v/>
      </c>
      <c r="E8" s="16">
        <f>COUNTIF('Januar 2026'!G$5:G$35,"Urlaub")+COUNTIF('Februar 2026'!G$5:G$32,"Urlaub")+COUNTIF('März 2026'!G$5:G$35,"Urlaub")+COUNTIF('April 2026'!G$5:G$34,"Urlaub")+COUNTIF('Mai 2026'!G$5:G$35,"Urlaub")+COUNTIF('Juni 2026'!G$5:G$34,"Urlaub")+COUNTIF('Juli 2026'!G$5:G$35,"Urlaub")+COUNTIF('August 2026'!G$5:G$35,"Urlaub")+COUNTIF('September 2026'!G$5:G$34,"Urlaub")+COUNTIF('Oktober 2026'!G$5:G$35,"Urlaub")+COUNTIF('November 2026'!G$5:G$34,"Urlaub")+COUNTIF('Dezember 2026'!G$5:G$35,"Urlaub")</f>
        <v/>
      </c>
      <c r="F8" s="17">
        <f>SUM(B8:E8)</f>
        <v/>
      </c>
    </row>
    <row r="9">
      <c r="A9" s="15" t="inlineStr">
        <is>
          <t>Mitarbeiter 6</t>
        </is>
      </c>
      <c r="B9" s="16">
        <f>COUNTIF('Januar 2026'!H$5:H$35,"Büro")+COUNTIF('Februar 2026'!H$5:H$32,"Büro")+COUNTIF('März 2026'!H$5:H$35,"Büro")+COUNTIF('April 2026'!H$5:H$34,"Büro")+COUNTIF('Mai 2026'!H$5:H$35,"Büro")+COUNTIF('Juni 2026'!H$5:H$34,"Büro")+COUNTIF('Juli 2026'!H$5:H$35,"Büro")+COUNTIF('August 2026'!H$5:H$35,"Büro")+COUNTIF('September 2026'!H$5:H$34,"Büro")+COUNTIF('Oktober 2026'!H$5:H$35,"Büro")+COUNTIF('November 2026'!H$5:H$34,"Büro")+COUNTIF('Dezember 2026'!H$5:H$35,"Büro")</f>
        <v/>
      </c>
      <c r="C9" s="16">
        <f>COUNTIF('Januar 2026'!H$5:H$35,"Homeoffice")+COUNTIF('Februar 2026'!H$5:H$32,"Homeoffice")+COUNTIF('März 2026'!H$5:H$35,"Homeoffice")+COUNTIF('April 2026'!H$5:H$34,"Homeoffice")+COUNTIF('Mai 2026'!H$5:H$35,"Homeoffice")+COUNTIF('Juni 2026'!H$5:H$34,"Homeoffice")+COUNTIF('Juli 2026'!H$5:H$35,"Homeoffice")+COUNTIF('August 2026'!H$5:H$35,"Homeoffice")+COUNTIF('September 2026'!H$5:H$34,"Homeoffice")+COUNTIF('Oktober 2026'!H$5:H$35,"Homeoffice")+COUNTIF('November 2026'!H$5:H$34,"Homeoffice")+COUNTIF('Dezember 2026'!H$5:H$35,"Homeoffice")</f>
        <v/>
      </c>
      <c r="D9" s="16">
        <f>COUNTIF('Januar 2026'!H$5:H$35,"Krank")+COUNTIF('Februar 2026'!H$5:H$32,"Krank")+COUNTIF('März 2026'!H$5:H$35,"Krank")+COUNTIF('April 2026'!H$5:H$34,"Krank")+COUNTIF('Mai 2026'!H$5:H$35,"Krank")+COUNTIF('Juni 2026'!H$5:H$34,"Krank")+COUNTIF('Juli 2026'!H$5:H$35,"Krank")+COUNTIF('August 2026'!H$5:H$35,"Krank")+COUNTIF('September 2026'!H$5:H$34,"Krank")+COUNTIF('Oktober 2026'!H$5:H$35,"Krank")+COUNTIF('November 2026'!H$5:H$34,"Krank")+COUNTIF('Dezember 2026'!H$5:H$35,"Krank")</f>
        <v/>
      </c>
      <c r="E9" s="16">
        <f>COUNTIF('Januar 2026'!H$5:H$35,"Urlaub")+COUNTIF('Februar 2026'!H$5:H$32,"Urlaub")+COUNTIF('März 2026'!H$5:H$35,"Urlaub")+COUNTIF('April 2026'!H$5:H$34,"Urlaub")+COUNTIF('Mai 2026'!H$5:H$35,"Urlaub")+COUNTIF('Juni 2026'!H$5:H$34,"Urlaub")+COUNTIF('Juli 2026'!H$5:H$35,"Urlaub")+COUNTIF('August 2026'!H$5:H$35,"Urlaub")+COUNTIF('September 2026'!H$5:H$34,"Urlaub")+COUNTIF('Oktober 2026'!H$5:H$35,"Urlaub")+COUNTIF('November 2026'!H$5:H$34,"Urlaub")+COUNTIF('Dezember 2026'!H$5:H$35,"Urlaub")</f>
        <v/>
      </c>
      <c r="F9" s="17">
        <f>SUM(B9:E9)</f>
        <v/>
      </c>
    </row>
    <row r="10">
      <c r="A10" s="15" t="inlineStr">
        <is>
          <t>Mitarbeiter 7</t>
        </is>
      </c>
      <c r="B10" s="16">
        <f>COUNTIF('Januar 2026'!I$5:I$35,"Büro")+COUNTIF('Februar 2026'!I$5:I$32,"Büro")+COUNTIF('März 2026'!I$5:I$35,"Büro")+COUNTIF('April 2026'!I$5:I$34,"Büro")+COUNTIF('Mai 2026'!I$5:I$35,"Büro")+COUNTIF('Juni 2026'!I$5:I$34,"Büro")+COUNTIF('Juli 2026'!I$5:I$35,"Büro")+COUNTIF('August 2026'!I$5:I$35,"Büro")+COUNTIF('September 2026'!I$5:I$34,"Büro")+COUNTIF('Oktober 2026'!I$5:I$35,"Büro")+COUNTIF('November 2026'!I$5:I$34,"Büro")+COUNTIF('Dezember 2026'!I$5:I$35,"Büro")</f>
        <v/>
      </c>
      <c r="C10" s="16">
        <f>COUNTIF('Januar 2026'!I$5:I$35,"Homeoffice")+COUNTIF('Februar 2026'!I$5:I$32,"Homeoffice")+COUNTIF('März 2026'!I$5:I$35,"Homeoffice")+COUNTIF('April 2026'!I$5:I$34,"Homeoffice")+COUNTIF('Mai 2026'!I$5:I$35,"Homeoffice")+COUNTIF('Juni 2026'!I$5:I$34,"Homeoffice")+COUNTIF('Juli 2026'!I$5:I$35,"Homeoffice")+COUNTIF('August 2026'!I$5:I$35,"Homeoffice")+COUNTIF('September 2026'!I$5:I$34,"Homeoffice")+COUNTIF('Oktober 2026'!I$5:I$35,"Homeoffice")+COUNTIF('November 2026'!I$5:I$34,"Homeoffice")+COUNTIF('Dezember 2026'!I$5:I$35,"Homeoffice")</f>
        <v/>
      </c>
      <c r="D10" s="16">
        <f>COUNTIF('Januar 2026'!I$5:I$35,"Krank")+COUNTIF('Februar 2026'!I$5:I$32,"Krank")+COUNTIF('März 2026'!I$5:I$35,"Krank")+COUNTIF('April 2026'!I$5:I$34,"Krank")+COUNTIF('Mai 2026'!I$5:I$35,"Krank")+COUNTIF('Juni 2026'!I$5:I$34,"Krank")+COUNTIF('Juli 2026'!I$5:I$35,"Krank")+COUNTIF('August 2026'!I$5:I$35,"Krank")+COUNTIF('September 2026'!I$5:I$34,"Krank")+COUNTIF('Oktober 2026'!I$5:I$35,"Krank")+COUNTIF('November 2026'!I$5:I$34,"Krank")+COUNTIF('Dezember 2026'!I$5:I$35,"Krank")</f>
        <v/>
      </c>
      <c r="E10" s="16">
        <f>COUNTIF('Januar 2026'!I$5:I$35,"Urlaub")+COUNTIF('Februar 2026'!I$5:I$32,"Urlaub")+COUNTIF('März 2026'!I$5:I$35,"Urlaub")+COUNTIF('April 2026'!I$5:I$34,"Urlaub")+COUNTIF('Mai 2026'!I$5:I$35,"Urlaub")+COUNTIF('Juni 2026'!I$5:I$34,"Urlaub")+COUNTIF('Juli 2026'!I$5:I$35,"Urlaub")+COUNTIF('August 2026'!I$5:I$35,"Urlaub")+COUNTIF('September 2026'!I$5:I$34,"Urlaub")+COUNTIF('Oktober 2026'!I$5:I$35,"Urlaub")+COUNTIF('November 2026'!I$5:I$34,"Urlaub")+COUNTIF('Dezember 2026'!I$5:I$35,"Urlaub")</f>
        <v/>
      </c>
      <c r="F10" s="17">
        <f>SUM(B10:E10)</f>
        <v/>
      </c>
    </row>
    <row r="11">
      <c r="A11" s="15" t="inlineStr">
        <is>
          <t>Mitarbeiter 8</t>
        </is>
      </c>
      <c r="B11" s="16">
        <f>COUNTIF('Januar 2026'!J$5:J$35,"Büro")+COUNTIF('Februar 2026'!J$5:J$32,"Büro")+COUNTIF('März 2026'!J$5:J$35,"Büro")+COUNTIF('April 2026'!J$5:J$34,"Büro")+COUNTIF('Mai 2026'!J$5:J$35,"Büro")+COUNTIF('Juni 2026'!J$5:J$34,"Büro")+COUNTIF('Juli 2026'!J$5:J$35,"Büro")+COUNTIF('August 2026'!J$5:J$35,"Büro")+COUNTIF('September 2026'!J$5:J$34,"Büro")+COUNTIF('Oktober 2026'!J$5:J$35,"Büro")+COUNTIF('November 2026'!J$5:J$34,"Büro")+COUNTIF('Dezember 2026'!J$5:J$35,"Büro")</f>
        <v/>
      </c>
      <c r="C11" s="16">
        <f>COUNTIF('Januar 2026'!J$5:J$35,"Homeoffice")+COUNTIF('Februar 2026'!J$5:J$32,"Homeoffice")+COUNTIF('März 2026'!J$5:J$35,"Homeoffice")+COUNTIF('April 2026'!J$5:J$34,"Homeoffice")+COUNTIF('Mai 2026'!J$5:J$35,"Homeoffice")+COUNTIF('Juni 2026'!J$5:J$34,"Homeoffice")+COUNTIF('Juli 2026'!J$5:J$35,"Homeoffice")+COUNTIF('August 2026'!J$5:J$35,"Homeoffice")+COUNTIF('September 2026'!J$5:J$34,"Homeoffice")+COUNTIF('Oktober 2026'!J$5:J$35,"Homeoffice")+COUNTIF('November 2026'!J$5:J$34,"Homeoffice")+COUNTIF('Dezember 2026'!J$5:J$35,"Homeoffice")</f>
        <v/>
      </c>
      <c r="D11" s="16">
        <f>COUNTIF('Januar 2026'!J$5:J$35,"Krank")+COUNTIF('Februar 2026'!J$5:J$32,"Krank")+COUNTIF('März 2026'!J$5:J$35,"Krank")+COUNTIF('April 2026'!J$5:J$34,"Krank")+COUNTIF('Mai 2026'!J$5:J$35,"Krank")+COUNTIF('Juni 2026'!J$5:J$34,"Krank")+COUNTIF('Juli 2026'!J$5:J$35,"Krank")+COUNTIF('August 2026'!J$5:J$35,"Krank")+COUNTIF('September 2026'!J$5:J$34,"Krank")+COUNTIF('Oktober 2026'!J$5:J$35,"Krank")+COUNTIF('November 2026'!J$5:J$34,"Krank")+COUNTIF('Dezember 2026'!J$5:J$35,"Krank")</f>
        <v/>
      </c>
      <c r="E11" s="16">
        <f>COUNTIF('Januar 2026'!J$5:J$35,"Urlaub")+COUNTIF('Februar 2026'!J$5:J$32,"Urlaub")+COUNTIF('März 2026'!J$5:J$35,"Urlaub")+COUNTIF('April 2026'!J$5:J$34,"Urlaub")+COUNTIF('Mai 2026'!J$5:J$35,"Urlaub")+COUNTIF('Juni 2026'!J$5:J$34,"Urlaub")+COUNTIF('Juli 2026'!J$5:J$35,"Urlaub")+COUNTIF('August 2026'!J$5:J$35,"Urlaub")+COUNTIF('September 2026'!J$5:J$34,"Urlaub")+COUNTIF('Oktober 2026'!J$5:J$35,"Urlaub")+COUNTIF('November 2026'!J$5:J$34,"Urlaub")+COUNTIF('Dezember 2026'!J$5:J$35,"Urlaub")</f>
        <v/>
      </c>
      <c r="F11" s="17">
        <f>SUM(B11:E11)</f>
        <v/>
      </c>
    </row>
    <row r="12">
      <c r="A12" s="15" t="inlineStr">
        <is>
          <t>Mitarbeiter 9</t>
        </is>
      </c>
      <c r="B12" s="16">
        <f>COUNTIF('Januar 2026'!K$5:K$35,"Büro")+COUNTIF('Februar 2026'!K$5:K$32,"Büro")+COUNTIF('März 2026'!K$5:K$35,"Büro")+COUNTIF('April 2026'!K$5:K$34,"Büro")+COUNTIF('Mai 2026'!K$5:K$35,"Büro")+COUNTIF('Juni 2026'!K$5:K$34,"Büro")+COUNTIF('Juli 2026'!K$5:K$35,"Büro")+COUNTIF('August 2026'!K$5:K$35,"Büro")+COUNTIF('September 2026'!K$5:K$34,"Büro")+COUNTIF('Oktober 2026'!K$5:K$35,"Büro")+COUNTIF('November 2026'!K$5:K$34,"Büro")+COUNTIF('Dezember 2026'!K$5:K$35,"Büro")</f>
        <v/>
      </c>
      <c r="C12" s="16">
        <f>COUNTIF('Januar 2026'!K$5:K$35,"Homeoffice")+COUNTIF('Februar 2026'!K$5:K$32,"Homeoffice")+COUNTIF('März 2026'!K$5:K$35,"Homeoffice")+COUNTIF('April 2026'!K$5:K$34,"Homeoffice")+COUNTIF('Mai 2026'!K$5:K$35,"Homeoffice")+COUNTIF('Juni 2026'!K$5:K$34,"Homeoffice")+COUNTIF('Juli 2026'!K$5:K$35,"Homeoffice")+COUNTIF('August 2026'!K$5:K$35,"Homeoffice")+COUNTIF('September 2026'!K$5:K$34,"Homeoffice")+COUNTIF('Oktober 2026'!K$5:K$35,"Homeoffice")+COUNTIF('November 2026'!K$5:K$34,"Homeoffice")+COUNTIF('Dezember 2026'!K$5:K$35,"Homeoffice")</f>
        <v/>
      </c>
      <c r="D12" s="16">
        <f>COUNTIF('Januar 2026'!K$5:K$35,"Krank")+COUNTIF('Februar 2026'!K$5:K$32,"Krank")+COUNTIF('März 2026'!K$5:K$35,"Krank")+COUNTIF('April 2026'!K$5:K$34,"Krank")+COUNTIF('Mai 2026'!K$5:K$35,"Krank")+COUNTIF('Juni 2026'!K$5:K$34,"Krank")+COUNTIF('Juli 2026'!K$5:K$35,"Krank")+COUNTIF('August 2026'!K$5:K$35,"Krank")+COUNTIF('September 2026'!K$5:K$34,"Krank")+COUNTIF('Oktober 2026'!K$5:K$35,"Krank")+COUNTIF('November 2026'!K$5:K$34,"Krank")+COUNTIF('Dezember 2026'!K$5:K$35,"Krank")</f>
        <v/>
      </c>
      <c r="E12" s="16">
        <f>COUNTIF('Januar 2026'!K$5:K$35,"Urlaub")+COUNTIF('Februar 2026'!K$5:K$32,"Urlaub")+COUNTIF('März 2026'!K$5:K$35,"Urlaub")+COUNTIF('April 2026'!K$5:K$34,"Urlaub")+COUNTIF('Mai 2026'!K$5:K$35,"Urlaub")+COUNTIF('Juni 2026'!K$5:K$34,"Urlaub")+COUNTIF('Juli 2026'!K$5:K$35,"Urlaub")+COUNTIF('August 2026'!K$5:K$35,"Urlaub")+COUNTIF('September 2026'!K$5:K$34,"Urlaub")+COUNTIF('Oktober 2026'!K$5:K$35,"Urlaub")+COUNTIF('November 2026'!K$5:K$34,"Urlaub")+COUNTIF('Dezember 2026'!K$5:K$35,"Urlaub")</f>
        <v/>
      </c>
      <c r="F12" s="17">
        <f>SUM(B12:E12)</f>
        <v/>
      </c>
    </row>
    <row r="13">
      <c r="A13" s="15" t="inlineStr">
        <is>
          <t>Mitarbeiter 10</t>
        </is>
      </c>
      <c r="B13" s="16">
        <f>COUNTIF('Januar 2026'!L$5:L$35,"Büro")+COUNTIF('Februar 2026'!L$5:L$32,"Büro")+COUNTIF('März 2026'!L$5:L$35,"Büro")+COUNTIF('April 2026'!L$5:L$34,"Büro")+COUNTIF('Mai 2026'!L$5:L$35,"Büro")+COUNTIF('Juni 2026'!L$5:L$34,"Büro")+COUNTIF('Juli 2026'!L$5:L$35,"Büro")+COUNTIF('August 2026'!L$5:L$35,"Büro")+COUNTIF('September 2026'!L$5:L$34,"Büro")+COUNTIF('Oktober 2026'!L$5:L$35,"Büro")+COUNTIF('November 2026'!L$5:L$34,"Büro")+COUNTIF('Dezember 2026'!L$5:L$35,"Büro")</f>
        <v/>
      </c>
      <c r="C13" s="16">
        <f>COUNTIF('Januar 2026'!L$5:L$35,"Homeoffice")+COUNTIF('Februar 2026'!L$5:L$32,"Homeoffice")+COUNTIF('März 2026'!L$5:L$35,"Homeoffice")+COUNTIF('April 2026'!L$5:L$34,"Homeoffice")+COUNTIF('Mai 2026'!L$5:L$35,"Homeoffice")+COUNTIF('Juni 2026'!L$5:L$34,"Homeoffice")+COUNTIF('Juli 2026'!L$5:L$35,"Homeoffice")+COUNTIF('August 2026'!L$5:L$35,"Homeoffice")+COUNTIF('September 2026'!L$5:L$34,"Homeoffice")+COUNTIF('Oktober 2026'!L$5:L$35,"Homeoffice")+COUNTIF('November 2026'!L$5:L$34,"Homeoffice")+COUNTIF('Dezember 2026'!L$5:L$35,"Homeoffice")</f>
        <v/>
      </c>
      <c r="D13" s="16">
        <f>COUNTIF('Januar 2026'!L$5:L$35,"Krank")+COUNTIF('Februar 2026'!L$5:L$32,"Krank")+COUNTIF('März 2026'!L$5:L$35,"Krank")+COUNTIF('April 2026'!L$5:L$34,"Krank")+COUNTIF('Mai 2026'!L$5:L$35,"Krank")+COUNTIF('Juni 2026'!L$5:L$34,"Krank")+COUNTIF('Juli 2026'!L$5:L$35,"Krank")+COUNTIF('August 2026'!L$5:L$35,"Krank")+COUNTIF('September 2026'!L$5:L$34,"Krank")+COUNTIF('Oktober 2026'!L$5:L$35,"Krank")+COUNTIF('November 2026'!L$5:L$34,"Krank")+COUNTIF('Dezember 2026'!L$5:L$35,"Krank")</f>
        <v/>
      </c>
      <c r="E13" s="16">
        <f>COUNTIF('Januar 2026'!L$5:L$35,"Urlaub")+COUNTIF('Februar 2026'!L$5:L$32,"Urlaub")+COUNTIF('März 2026'!L$5:L$35,"Urlaub")+COUNTIF('April 2026'!L$5:L$34,"Urlaub")+COUNTIF('Mai 2026'!L$5:L$35,"Urlaub")+COUNTIF('Juni 2026'!L$5:L$34,"Urlaub")+COUNTIF('Juli 2026'!L$5:L$35,"Urlaub")+COUNTIF('August 2026'!L$5:L$35,"Urlaub")+COUNTIF('September 2026'!L$5:L$34,"Urlaub")+COUNTIF('Oktober 2026'!L$5:L$35,"Urlaub")+COUNTIF('November 2026'!L$5:L$34,"Urlaub")+COUNTIF('Dezember 2026'!L$5:L$35,"Urlaub")</f>
        <v/>
      </c>
      <c r="F13" s="17">
        <f>SUM(B13:E13)</f>
        <v/>
      </c>
    </row>
    <row r="14">
      <c r="A14" s="18" t="inlineStr">
        <is>
          <t>Gesamt (alle)</t>
        </is>
      </c>
      <c r="B14" s="19">
        <f>SUM(B4:B13)</f>
        <v/>
      </c>
      <c r="C14" s="19">
        <f>SUM(C4:C13)</f>
        <v/>
      </c>
      <c r="D14" s="19">
        <f>SUM(D4:D13)</f>
        <v/>
      </c>
      <c r="E14" s="19">
        <f>SUM(E4:E13)</f>
        <v/>
      </c>
      <c r="F14" s="19">
        <f>SUM(F4:F13)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Januar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1" t="n">
        <v>46023</v>
      </c>
      <c r="B5" s="22" t="inlineStr">
        <is>
          <t>Donnerstag · Neujahr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23">
        <f>COUNTIF(C5:L5,"Büro")</f>
        <v/>
      </c>
    </row>
    <row r="6">
      <c r="A6" s="24" t="n">
        <v>46024</v>
      </c>
      <c r="B6" s="9" t="inlineStr">
        <is>
          <t>Freitag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5" t="n">
        <v>46025</v>
      </c>
      <c r="B7" s="26" t="inlineStr">
        <is>
          <t>Samstag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27">
        <f>COUNTIF(C7:L7,"Büro")</f>
        <v/>
      </c>
    </row>
    <row r="8">
      <c r="A8" s="25" t="n">
        <v>46026</v>
      </c>
      <c r="B8" s="26" t="inlineStr">
        <is>
          <t>Sonntag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27">
        <f>COUNTIF(C8:L8,"Büro")</f>
        <v/>
      </c>
    </row>
    <row r="9">
      <c r="A9" s="24" t="n">
        <v>46027</v>
      </c>
      <c r="B9" s="9" t="inlineStr">
        <is>
          <t>Montag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4" t="n">
        <v>46028</v>
      </c>
      <c r="B10" s="9" t="inlineStr">
        <is>
          <t>Dienstag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4" t="n">
        <v>46029</v>
      </c>
      <c r="B11" s="9" t="inlineStr">
        <is>
          <t>Mittwoch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4" t="n">
        <v>46030</v>
      </c>
      <c r="B12" s="9" t="inlineStr">
        <is>
          <t>Donnerstag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4" t="n">
        <v>46031</v>
      </c>
      <c r="B13" s="9" t="inlineStr">
        <is>
          <t>Freitag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5" t="n">
        <v>46032</v>
      </c>
      <c r="B14" s="26" t="inlineStr">
        <is>
          <t>Samstag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7">
        <f>COUNTIF(C14:L14,"Büro")</f>
        <v/>
      </c>
    </row>
    <row r="15">
      <c r="A15" s="25" t="n">
        <v>46033</v>
      </c>
      <c r="B15" s="26" t="inlineStr">
        <is>
          <t>Sonntag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7">
        <f>COUNTIF(C15:L15,"Büro")</f>
        <v/>
      </c>
    </row>
    <row r="16">
      <c r="A16" s="24" t="n">
        <v>46034</v>
      </c>
      <c r="B16" s="9" t="inlineStr">
        <is>
          <t>Montag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4" t="n">
        <v>46035</v>
      </c>
      <c r="B17" s="9" t="inlineStr">
        <is>
          <t>Dienstag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4" t="n">
        <v>46036</v>
      </c>
      <c r="B18" s="9" t="inlineStr">
        <is>
          <t>Mittwoch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COUNTIF(C18:L18,"Büro")</f>
        <v/>
      </c>
    </row>
    <row r="19">
      <c r="A19" s="24" t="n">
        <v>46037</v>
      </c>
      <c r="B19" s="9" t="inlineStr">
        <is>
          <t>Donnerstag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4" t="n">
        <v>46038</v>
      </c>
      <c r="B20" s="9" t="inlineStr">
        <is>
          <t>Freitag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5" t="n">
        <v>46039</v>
      </c>
      <c r="B21" s="26" t="inlineStr">
        <is>
          <t>Samstag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27">
        <f>COUNTIF(C21:L21,"Büro")</f>
        <v/>
      </c>
    </row>
    <row r="22">
      <c r="A22" s="25" t="n">
        <v>46040</v>
      </c>
      <c r="B22" s="26" t="inlineStr">
        <is>
          <t>Sonntag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27">
        <f>COUNTIF(C22:L22,"Büro")</f>
        <v/>
      </c>
    </row>
    <row r="23">
      <c r="A23" s="24" t="n">
        <v>46041</v>
      </c>
      <c r="B23" s="9" t="inlineStr">
        <is>
          <t>Montag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4" t="n">
        <v>46042</v>
      </c>
      <c r="B24" s="9" t="inlineStr">
        <is>
          <t>Dienstag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4" t="n">
        <v>46043</v>
      </c>
      <c r="B25" s="9" t="inlineStr">
        <is>
          <t>Mittwoch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4" t="n">
        <v>46044</v>
      </c>
      <c r="B26" s="9" t="inlineStr">
        <is>
          <t>Donnerstag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4" t="n">
        <v>46045</v>
      </c>
      <c r="B27" s="9" t="inlineStr">
        <is>
          <t>Freitag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5" t="n">
        <v>46046</v>
      </c>
      <c r="B28" s="26" t="inlineStr">
        <is>
          <t>Samstag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7">
        <f>COUNTIF(C28:L28,"Büro")</f>
        <v/>
      </c>
    </row>
    <row r="29">
      <c r="A29" s="25" t="n">
        <v>46047</v>
      </c>
      <c r="B29" s="26" t="inlineStr">
        <is>
          <t>Sonntag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27">
        <f>COUNTIF(C29:L29,"Büro")</f>
        <v/>
      </c>
    </row>
    <row r="30">
      <c r="A30" s="24" t="n">
        <v>46048</v>
      </c>
      <c r="B30" s="9" t="inlineStr">
        <is>
          <t>Montag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4" t="n">
        <v>46049</v>
      </c>
      <c r="B31" s="9" t="inlineStr">
        <is>
          <t>Dienstag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4" t="n">
        <v>46050</v>
      </c>
      <c r="B32" s="9" t="inlineStr">
        <is>
          <t>Mittwoch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4" t="n">
        <v>46051</v>
      </c>
      <c r="B33" s="9" t="inlineStr">
        <is>
          <t>Donnerstag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4" t="n">
        <v>46052</v>
      </c>
      <c r="B34" s="9" t="inlineStr">
        <is>
          <t>Freitag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5">
      <c r="A35" s="25" t="n">
        <v>46053</v>
      </c>
      <c r="B35" s="26" t="inlineStr">
        <is>
          <t>Samstag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27">
        <f>COUNTIF(C35:L35,"Büro")</f>
        <v/>
      </c>
    </row>
    <row r="37">
      <c r="A37" s="28" t="n"/>
      <c r="B37" s="29" t="inlineStr">
        <is>
          <t>Summe Büro</t>
        </is>
      </c>
      <c r="C37" s="30">
        <f>COUNTIF(C5:C35,"Büro")</f>
        <v/>
      </c>
      <c r="D37" s="30">
        <f>COUNTIF(D5:D35,"Büro")</f>
        <v/>
      </c>
      <c r="E37" s="30">
        <f>COUNTIF(E5:E35,"Büro")</f>
        <v/>
      </c>
      <c r="F37" s="30">
        <f>COUNTIF(F5:F35,"Büro")</f>
        <v/>
      </c>
      <c r="G37" s="30">
        <f>COUNTIF(G5:G35,"Büro")</f>
        <v/>
      </c>
      <c r="H37" s="30">
        <f>COUNTIF(H5:H35,"Büro")</f>
        <v/>
      </c>
      <c r="I37" s="30">
        <f>COUNTIF(I5:I35,"Büro")</f>
        <v/>
      </c>
      <c r="J37" s="30">
        <f>COUNTIF(J5:J35,"Büro")</f>
        <v/>
      </c>
      <c r="K37" s="30">
        <f>COUNTIF(K5:K35,"Büro")</f>
        <v/>
      </c>
      <c r="L37" s="30">
        <f>COUNTIF(L5:L35,"Büro")</f>
        <v/>
      </c>
    </row>
    <row r="38">
      <c r="A38" s="28" t="n"/>
      <c r="B38" s="29" t="inlineStr">
        <is>
          <t>Summe Homeoffice</t>
        </is>
      </c>
      <c r="C38" s="30">
        <f>COUNTIF(C5:C35,"Homeoffice")</f>
        <v/>
      </c>
      <c r="D38" s="30">
        <f>COUNTIF(D5:D35,"Homeoffice")</f>
        <v/>
      </c>
      <c r="E38" s="30">
        <f>COUNTIF(E5:E35,"Homeoffice")</f>
        <v/>
      </c>
      <c r="F38" s="30">
        <f>COUNTIF(F5:F35,"Homeoffice")</f>
        <v/>
      </c>
      <c r="G38" s="30">
        <f>COUNTIF(G5:G35,"Homeoffice")</f>
        <v/>
      </c>
      <c r="H38" s="30">
        <f>COUNTIF(H5:H35,"Homeoffice")</f>
        <v/>
      </c>
      <c r="I38" s="30">
        <f>COUNTIF(I5:I35,"Homeoffice")</f>
        <v/>
      </c>
      <c r="J38" s="30">
        <f>COUNTIF(J5:J35,"Homeoffice")</f>
        <v/>
      </c>
      <c r="K38" s="30">
        <f>COUNTIF(K5:K35,"Homeoffice")</f>
        <v/>
      </c>
      <c r="L38" s="30">
        <f>COUNTIF(L5:L35,"Homeoffice")</f>
        <v/>
      </c>
    </row>
    <row r="39">
      <c r="A39" s="28" t="n"/>
      <c r="B39" s="29" t="inlineStr">
        <is>
          <t>Summe Krank</t>
        </is>
      </c>
      <c r="C39" s="30">
        <f>COUNTIF(C5:C35,"Krank")</f>
        <v/>
      </c>
      <c r="D39" s="30">
        <f>COUNTIF(D5:D35,"Krank")</f>
        <v/>
      </c>
      <c r="E39" s="30">
        <f>COUNTIF(E5:E35,"Krank")</f>
        <v/>
      </c>
      <c r="F39" s="30">
        <f>COUNTIF(F5:F35,"Krank")</f>
        <v/>
      </c>
      <c r="G39" s="30">
        <f>COUNTIF(G5:G35,"Krank")</f>
        <v/>
      </c>
      <c r="H39" s="30">
        <f>COUNTIF(H5:H35,"Krank")</f>
        <v/>
      </c>
      <c r="I39" s="30">
        <f>COUNTIF(I5:I35,"Krank")</f>
        <v/>
      </c>
      <c r="J39" s="30">
        <f>COUNTIF(J5:J35,"Krank")</f>
        <v/>
      </c>
      <c r="K39" s="30">
        <f>COUNTIF(K5:K35,"Krank")</f>
        <v/>
      </c>
      <c r="L39" s="30">
        <f>COUNTIF(L5:L35,"Krank")</f>
        <v/>
      </c>
    </row>
    <row r="40">
      <c r="A40" s="28" t="n"/>
      <c r="B40" s="29" t="inlineStr">
        <is>
          <t>Summe Urlaub</t>
        </is>
      </c>
      <c r="C40" s="30">
        <f>COUNTIF(C5:C35,"Urlaub")</f>
        <v/>
      </c>
      <c r="D40" s="30">
        <f>COUNTIF(D5:D35,"Urlaub")</f>
        <v/>
      </c>
      <c r="E40" s="30">
        <f>COUNTIF(E5:E35,"Urlaub")</f>
        <v/>
      </c>
      <c r="F40" s="30">
        <f>COUNTIF(F5:F35,"Urlaub")</f>
        <v/>
      </c>
      <c r="G40" s="30">
        <f>COUNTIF(G5:G35,"Urlaub")</f>
        <v/>
      </c>
      <c r="H40" s="30">
        <f>COUNTIF(H5:H35,"Urlaub")</f>
        <v/>
      </c>
      <c r="I40" s="30">
        <f>COUNTIF(I5:I35,"Urlaub")</f>
        <v/>
      </c>
      <c r="J40" s="30">
        <f>COUNTIF(J5:J35,"Urlaub")</f>
        <v/>
      </c>
      <c r="K40" s="30">
        <f>COUNTIF(K5:K35,"Urlaub")</f>
        <v/>
      </c>
      <c r="L40" s="30">
        <f>COUNTIF(L5:L35,"Urlaub")</f>
        <v/>
      </c>
    </row>
  </sheetData>
  <mergeCells count="2">
    <mergeCell ref="A2:M2"/>
    <mergeCell ref="A1:M1"/>
  </mergeCells>
  <conditionalFormatting sqref="C5:L35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5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Februar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5" t="n">
        <v>46054</v>
      </c>
      <c r="B5" s="26" t="inlineStr">
        <is>
          <t>Sonntag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27">
        <f>COUNTIF(C5:L5,"Büro")</f>
        <v/>
      </c>
    </row>
    <row r="6">
      <c r="A6" s="24" t="n">
        <v>46055</v>
      </c>
      <c r="B6" s="9" t="inlineStr">
        <is>
          <t>Montag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4" t="n">
        <v>46056</v>
      </c>
      <c r="B7" s="9" t="inlineStr">
        <is>
          <t>Dienstag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4" t="n">
        <v>46057</v>
      </c>
      <c r="B8" s="9" t="inlineStr">
        <is>
          <t>Mittwoch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4" t="n">
        <v>46058</v>
      </c>
      <c r="B9" s="9" t="inlineStr">
        <is>
          <t>Donnerstag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4" t="n">
        <v>46059</v>
      </c>
      <c r="B10" s="9" t="inlineStr">
        <is>
          <t>Freitag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5" t="n">
        <v>46060</v>
      </c>
      <c r="B11" s="26" t="inlineStr">
        <is>
          <t>Samstag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27">
        <f>COUNTIF(C11:L11,"Büro")</f>
        <v/>
      </c>
    </row>
    <row r="12">
      <c r="A12" s="25" t="n">
        <v>46061</v>
      </c>
      <c r="B12" s="26" t="inlineStr">
        <is>
          <t>Sonntag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27">
        <f>COUNTIF(C12:L12,"Büro")</f>
        <v/>
      </c>
    </row>
    <row r="13">
      <c r="A13" s="24" t="n">
        <v>46062</v>
      </c>
      <c r="B13" s="9" t="inlineStr">
        <is>
          <t>Montag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46063</v>
      </c>
      <c r="B14" s="9" t="inlineStr">
        <is>
          <t>Dienstag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4" t="n">
        <v>46064</v>
      </c>
      <c r="B15" s="9" t="inlineStr">
        <is>
          <t>Mittwoch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4" t="n">
        <v>46065</v>
      </c>
      <c r="B16" s="9" t="inlineStr">
        <is>
          <t>Donnerstag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4" t="n">
        <v>46066</v>
      </c>
      <c r="B17" s="9" t="inlineStr">
        <is>
          <t>Freitag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5" t="n">
        <v>46067</v>
      </c>
      <c r="B18" s="26" t="inlineStr">
        <is>
          <t>Samstag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7">
        <f>COUNTIF(C18:L18,"Büro")</f>
        <v/>
      </c>
    </row>
    <row r="19">
      <c r="A19" s="25" t="n">
        <v>46068</v>
      </c>
      <c r="B19" s="26" t="inlineStr">
        <is>
          <t>Sonntag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7">
        <f>COUNTIF(C19:L19,"Büro")</f>
        <v/>
      </c>
    </row>
    <row r="20">
      <c r="A20" s="24" t="n">
        <v>46069</v>
      </c>
      <c r="B20" s="9" t="inlineStr">
        <is>
          <t>Montag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46070</v>
      </c>
      <c r="B21" s="9" t="inlineStr">
        <is>
          <t>Dienstag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4" t="n">
        <v>46071</v>
      </c>
      <c r="B22" s="9" t="inlineStr">
        <is>
          <t>Mittwoch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4" t="n">
        <v>46072</v>
      </c>
      <c r="B23" s="9" t="inlineStr">
        <is>
          <t>Donnerstag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4" t="n">
        <v>46073</v>
      </c>
      <c r="B24" s="9" t="inlineStr">
        <is>
          <t>Freitag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5" t="n">
        <v>46074</v>
      </c>
      <c r="B25" s="26" t="inlineStr">
        <is>
          <t>Samstag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27">
        <f>COUNTIF(C25:L25,"Büro")</f>
        <v/>
      </c>
    </row>
    <row r="26">
      <c r="A26" s="25" t="n">
        <v>46075</v>
      </c>
      <c r="B26" s="26" t="inlineStr">
        <is>
          <t>Sonntag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7">
        <f>COUNTIF(C26:L26,"Büro")</f>
        <v/>
      </c>
    </row>
    <row r="27">
      <c r="A27" s="24" t="n">
        <v>46076</v>
      </c>
      <c r="B27" s="9" t="inlineStr">
        <is>
          <t>Montag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46077</v>
      </c>
      <c r="B28" s="9" t="inlineStr">
        <is>
          <t>Dienstag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4" t="n">
        <v>46078</v>
      </c>
      <c r="B29" s="9" t="inlineStr">
        <is>
          <t>Mittwoch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COUNTIF(C29:L29,"Büro")</f>
        <v/>
      </c>
    </row>
    <row r="30">
      <c r="A30" s="24" t="n">
        <v>46079</v>
      </c>
      <c r="B30" s="9" t="inlineStr">
        <is>
          <t>Donnerstag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4" t="n">
        <v>46080</v>
      </c>
      <c r="B31" s="9" t="inlineStr">
        <is>
          <t>Freitag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5" t="n">
        <v>46081</v>
      </c>
      <c r="B32" s="26" t="inlineStr">
        <is>
          <t>Samstag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27">
        <f>COUNTIF(C32:L32,"Büro")</f>
        <v/>
      </c>
    </row>
    <row r="34">
      <c r="A34" s="28" t="n"/>
      <c r="B34" s="29" t="inlineStr">
        <is>
          <t>Summe Büro</t>
        </is>
      </c>
      <c r="C34" s="30">
        <f>COUNTIF(C5:C32,"Büro")</f>
        <v/>
      </c>
      <c r="D34" s="30">
        <f>COUNTIF(D5:D32,"Büro")</f>
        <v/>
      </c>
      <c r="E34" s="30">
        <f>COUNTIF(E5:E32,"Büro")</f>
        <v/>
      </c>
      <c r="F34" s="30">
        <f>COUNTIF(F5:F32,"Büro")</f>
        <v/>
      </c>
      <c r="G34" s="30">
        <f>COUNTIF(G5:G32,"Büro")</f>
        <v/>
      </c>
      <c r="H34" s="30">
        <f>COUNTIF(H5:H32,"Büro")</f>
        <v/>
      </c>
      <c r="I34" s="30">
        <f>COUNTIF(I5:I32,"Büro")</f>
        <v/>
      </c>
      <c r="J34" s="30">
        <f>COUNTIF(J5:J32,"Büro")</f>
        <v/>
      </c>
      <c r="K34" s="30">
        <f>COUNTIF(K5:K32,"Büro")</f>
        <v/>
      </c>
      <c r="L34" s="30">
        <f>COUNTIF(L5:L32,"Büro")</f>
        <v/>
      </c>
    </row>
    <row r="35">
      <c r="A35" s="28" t="n"/>
      <c r="B35" s="29" t="inlineStr">
        <is>
          <t>Summe Homeoffice</t>
        </is>
      </c>
      <c r="C35" s="30">
        <f>COUNTIF(C5:C32,"Homeoffice")</f>
        <v/>
      </c>
      <c r="D35" s="30">
        <f>COUNTIF(D5:D32,"Homeoffice")</f>
        <v/>
      </c>
      <c r="E35" s="30">
        <f>COUNTIF(E5:E32,"Homeoffice")</f>
        <v/>
      </c>
      <c r="F35" s="30">
        <f>COUNTIF(F5:F32,"Homeoffice")</f>
        <v/>
      </c>
      <c r="G35" s="30">
        <f>COUNTIF(G5:G32,"Homeoffice")</f>
        <v/>
      </c>
      <c r="H35" s="30">
        <f>COUNTIF(H5:H32,"Homeoffice")</f>
        <v/>
      </c>
      <c r="I35" s="30">
        <f>COUNTIF(I5:I32,"Homeoffice")</f>
        <v/>
      </c>
      <c r="J35" s="30">
        <f>COUNTIF(J5:J32,"Homeoffice")</f>
        <v/>
      </c>
      <c r="K35" s="30">
        <f>COUNTIF(K5:K32,"Homeoffice")</f>
        <v/>
      </c>
      <c r="L35" s="30">
        <f>COUNTIF(L5:L32,"Homeoffice")</f>
        <v/>
      </c>
    </row>
    <row r="36">
      <c r="A36" s="28" t="n"/>
      <c r="B36" s="29" t="inlineStr">
        <is>
          <t>Summe Krank</t>
        </is>
      </c>
      <c r="C36" s="30">
        <f>COUNTIF(C5:C32,"Krank")</f>
        <v/>
      </c>
      <c r="D36" s="30">
        <f>COUNTIF(D5:D32,"Krank")</f>
        <v/>
      </c>
      <c r="E36" s="30">
        <f>COUNTIF(E5:E32,"Krank")</f>
        <v/>
      </c>
      <c r="F36" s="30">
        <f>COUNTIF(F5:F32,"Krank")</f>
        <v/>
      </c>
      <c r="G36" s="30">
        <f>COUNTIF(G5:G32,"Krank")</f>
        <v/>
      </c>
      <c r="H36" s="30">
        <f>COUNTIF(H5:H32,"Krank")</f>
        <v/>
      </c>
      <c r="I36" s="30">
        <f>COUNTIF(I5:I32,"Krank")</f>
        <v/>
      </c>
      <c r="J36" s="30">
        <f>COUNTIF(J5:J32,"Krank")</f>
        <v/>
      </c>
      <c r="K36" s="30">
        <f>COUNTIF(K5:K32,"Krank")</f>
        <v/>
      </c>
      <c r="L36" s="30">
        <f>COUNTIF(L5:L32,"Krank")</f>
        <v/>
      </c>
    </row>
    <row r="37">
      <c r="A37" s="28" t="n"/>
      <c r="B37" s="29" t="inlineStr">
        <is>
          <t>Summe Urlaub</t>
        </is>
      </c>
      <c r="C37" s="30">
        <f>COUNTIF(C5:C32,"Urlaub")</f>
        <v/>
      </c>
      <c r="D37" s="30">
        <f>COUNTIF(D5:D32,"Urlaub")</f>
        <v/>
      </c>
      <c r="E37" s="30">
        <f>COUNTIF(E5:E32,"Urlaub")</f>
        <v/>
      </c>
      <c r="F37" s="30">
        <f>COUNTIF(F5:F32,"Urlaub")</f>
        <v/>
      </c>
      <c r="G37" s="30">
        <f>COUNTIF(G5:G32,"Urlaub")</f>
        <v/>
      </c>
      <c r="H37" s="30">
        <f>COUNTIF(H5:H32,"Urlaub")</f>
        <v/>
      </c>
      <c r="I37" s="30">
        <f>COUNTIF(I5:I32,"Urlaub")</f>
        <v/>
      </c>
      <c r="J37" s="30">
        <f>COUNTIF(J5:J32,"Urlaub")</f>
        <v/>
      </c>
      <c r="K37" s="30">
        <f>COUNTIF(K5:K32,"Urlaub")</f>
        <v/>
      </c>
      <c r="L37" s="30">
        <f>COUNTIF(L5:L32,"Urlaub")</f>
        <v/>
      </c>
    </row>
  </sheetData>
  <mergeCells count="2">
    <mergeCell ref="A2:M2"/>
    <mergeCell ref="A1:M1"/>
  </mergeCells>
  <conditionalFormatting sqref="C5:L32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2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März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5" t="n">
        <v>46082</v>
      </c>
      <c r="B5" s="26" t="inlineStr">
        <is>
          <t>Sonntag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27">
        <f>COUNTIF(C5:L5,"Büro")</f>
        <v/>
      </c>
    </row>
    <row r="6">
      <c r="A6" s="24" t="n">
        <v>46083</v>
      </c>
      <c r="B6" s="9" t="inlineStr">
        <is>
          <t>Montag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4" t="n">
        <v>46084</v>
      </c>
      <c r="B7" s="9" t="inlineStr">
        <is>
          <t>Dienstag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4" t="n">
        <v>46085</v>
      </c>
      <c r="B8" s="9" t="inlineStr">
        <is>
          <t>Mittwoch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4" t="n">
        <v>46086</v>
      </c>
      <c r="B9" s="9" t="inlineStr">
        <is>
          <t>Donnerstag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4" t="n">
        <v>46087</v>
      </c>
      <c r="B10" s="9" t="inlineStr">
        <is>
          <t>Freitag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5" t="n">
        <v>46088</v>
      </c>
      <c r="B11" s="26" t="inlineStr">
        <is>
          <t>Samstag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27">
        <f>COUNTIF(C11:L11,"Büro")</f>
        <v/>
      </c>
    </row>
    <row r="12">
      <c r="A12" s="25" t="n">
        <v>46089</v>
      </c>
      <c r="B12" s="26" t="inlineStr">
        <is>
          <t>Sonntag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27">
        <f>COUNTIF(C12:L12,"Büro")</f>
        <v/>
      </c>
    </row>
    <row r="13">
      <c r="A13" s="24" t="n">
        <v>46090</v>
      </c>
      <c r="B13" s="9" t="inlineStr">
        <is>
          <t>Montag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46091</v>
      </c>
      <c r="B14" s="9" t="inlineStr">
        <is>
          <t>Dienstag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4" t="n">
        <v>46092</v>
      </c>
      <c r="B15" s="9" t="inlineStr">
        <is>
          <t>Mittwoch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4" t="n">
        <v>46093</v>
      </c>
      <c r="B16" s="9" t="inlineStr">
        <is>
          <t>Donnerstag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4" t="n">
        <v>46094</v>
      </c>
      <c r="B17" s="9" t="inlineStr">
        <is>
          <t>Freitag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5" t="n">
        <v>46095</v>
      </c>
      <c r="B18" s="26" t="inlineStr">
        <is>
          <t>Samstag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7">
        <f>COUNTIF(C18:L18,"Büro")</f>
        <v/>
      </c>
    </row>
    <row r="19">
      <c r="A19" s="25" t="n">
        <v>46096</v>
      </c>
      <c r="B19" s="26" t="inlineStr">
        <is>
          <t>Sonntag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7">
        <f>COUNTIF(C19:L19,"Büro")</f>
        <v/>
      </c>
    </row>
    <row r="20">
      <c r="A20" s="24" t="n">
        <v>46097</v>
      </c>
      <c r="B20" s="9" t="inlineStr">
        <is>
          <t>Montag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46098</v>
      </c>
      <c r="B21" s="9" t="inlineStr">
        <is>
          <t>Dienstag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4" t="n">
        <v>46099</v>
      </c>
      <c r="B22" s="9" t="inlineStr">
        <is>
          <t>Mittwoch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4" t="n">
        <v>46100</v>
      </c>
      <c r="B23" s="9" t="inlineStr">
        <is>
          <t>Donnerstag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4" t="n">
        <v>46101</v>
      </c>
      <c r="B24" s="9" t="inlineStr">
        <is>
          <t>Freitag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5" t="n">
        <v>46102</v>
      </c>
      <c r="B25" s="26" t="inlineStr">
        <is>
          <t>Samstag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27">
        <f>COUNTIF(C25:L25,"Büro")</f>
        <v/>
      </c>
    </row>
    <row r="26">
      <c r="A26" s="25" t="n">
        <v>46103</v>
      </c>
      <c r="B26" s="26" t="inlineStr">
        <is>
          <t>Sonntag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7">
        <f>COUNTIF(C26:L26,"Büro")</f>
        <v/>
      </c>
    </row>
    <row r="27">
      <c r="A27" s="24" t="n">
        <v>46104</v>
      </c>
      <c r="B27" s="9" t="inlineStr">
        <is>
          <t>Montag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46105</v>
      </c>
      <c r="B28" s="9" t="inlineStr">
        <is>
          <t>Dienstag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4" t="n">
        <v>46106</v>
      </c>
      <c r="B29" s="9" t="inlineStr">
        <is>
          <t>Mittwoch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COUNTIF(C29:L29,"Büro")</f>
        <v/>
      </c>
    </row>
    <row r="30">
      <c r="A30" s="24" t="n">
        <v>46107</v>
      </c>
      <c r="B30" s="9" t="inlineStr">
        <is>
          <t>Donnerstag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4" t="n">
        <v>46108</v>
      </c>
      <c r="B31" s="9" t="inlineStr">
        <is>
          <t>Freitag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5" t="n">
        <v>46109</v>
      </c>
      <c r="B32" s="26" t="inlineStr">
        <is>
          <t>Samstag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27">
        <f>COUNTIF(C32:L32,"Büro")</f>
        <v/>
      </c>
    </row>
    <row r="33">
      <c r="A33" s="25" t="n">
        <v>46110</v>
      </c>
      <c r="B33" s="26" t="inlineStr">
        <is>
          <t>Sonntag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27">
        <f>COUNTIF(C33:L33,"Büro")</f>
        <v/>
      </c>
    </row>
    <row r="34">
      <c r="A34" s="24" t="n">
        <v>46111</v>
      </c>
      <c r="B34" s="9" t="inlineStr">
        <is>
          <t>Montag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5">
      <c r="A35" s="24" t="n">
        <v>46112</v>
      </c>
      <c r="B35" s="9" t="inlineStr">
        <is>
          <t>Dienstag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COUNTIF(C35:L35,"Büro")</f>
        <v/>
      </c>
    </row>
    <row r="37">
      <c r="A37" s="28" t="n"/>
      <c r="B37" s="29" t="inlineStr">
        <is>
          <t>Summe Büro</t>
        </is>
      </c>
      <c r="C37" s="30">
        <f>COUNTIF(C5:C35,"Büro")</f>
        <v/>
      </c>
      <c r="D37" s="30">
        <f>COUNTIF(D5:D35,"Büro")</f>
        <v/>
      </c>
      <c r="E37" s="30">
        <f>COUNTIF(E5:E35,"Büro")</f>
        <v/>
      </c>
      <c r="F37" s="30">
        <f>COUNTIF(F5:F35,"Büro")</f>
        <v/>
      </c>
      <c r="G37" s="30">
        <f>COUNTIF(G5:G35,"Büro")</f>
        <v/>
      </c>
      <c r="H37" s="30">
        <f>COUNTIF(H5:H35,"Büro")</f>
        <v/>
      </c>
      <c r="I37" s="30">
        <f>COUNTIF(I5:I35,"Büro")</f>
        <v/>
      </c>
      <c r="J37" s="30">
        <f>COUNTIF(J5:J35,"Büro")</f>
        <v/>
      </c>
      <c r="K37" s="30">
        <f>COUNTIF(K5:K35,"Büro")</f>
        <v/>
      </c>
      <c r="L37" s="30">
        <f>COUNTIF(L5:L35,"Büro")</f>
        <v/>
      </c>
    </row>
    <row r="38">
      <c r="A38" s="28" t="n"/>
      <c r="B38" s="29" t="inlineStr">
        <is>
          <t>Summe Homeoffice</t>
        </is>
      </c>
      <c r="C38" s="30">
        <f>COUNTIF(C5:C35,"Homeoffice")</f>
        <v/>
      </c>
      <c r="D38" s="30">
        <f>COUNTIF(D5:D35,"Homeoffice")</f>
        <v/>
      </c>
      <c r="E38" s="30">
        <f>COUNTIF(E5:E35,"Homeoffice")</f>
        <v/>
      </c>
      <c r="F38" s="30">
        <f>COUNTIF(F5:F35,"Homeoffice")</f>
        <v/>
      </c>
      <c r="G38" s="30">
        <f>COUNTIF(G5:G35,"Homeoffice")</f>
        <v/>
      </c>
      <c r="H38" s="30">
        <f>COUNTIF(H5:H35,"Homeoffice")</f>
        <v/>
      </c>
      <c r="I38" s="30">
        <f>COUNTIF(I5:I35,"Homeoffice")</f>
        <v/>
      </c>
      <c r="J38" s="30">
        <f>COUNTIF(J5:J35,"Homeoffice")</f>
        <v/>
      </c>
      <c r="K38" s="30">
        <f>COUNTIF(K5:K35,"Homeoffice")</f>
        <v/>
      </c>
      <c r="L38" s="30">
        <f>COUNTIF(L5:L35,"Homeoffice")</f>
        <v/>
      </c>
    </row>
    <row r="39">
      <c r="A39" s="28" t="n"/>
      <c r="B39" s="29" t="inlineStr">
        <is>
          <t>Summe Krank</t>
        </is>
      </c>
      <c r="C39" s="30">
        <f>COUNTIF(C5:C35,"Krank")</f>
        <v/>
      </c>
      <c r="D39" s="30">
        <f>COUNTIF(D5:D35,"Krank")</f>
        <v/>
      </c>
      <c r="E39" s="30">
        <f>COUNTIF(E5:E35,"Krank")</f>
        <v/>
      </c>
      <c r="F39" s="30">
        <f>COUNTIF(F5:F35,"Krank")</f>
        <v/>
      </c>
      <c r="G39" s="30">
        <f>COUNTIF(G5:G35,"Krank")</f>
        <v/>
      </c>
      <c r="H39" s="30">
        <f>COUNTIF(H5:H35,"Krank")</f>
        <v/>
      </c>
      <c r="I39" s="30">
        <f>COUNTIF(I5:I35,"Krank")</f>
        <v/>
      </c>
      <c r="J39" s="30">
        <f>COUNTIF(J5:J35,"Krank")</f>
        <v/>
      </c>
      <c r="K39" s="30">
        <f>COUNTIF(K5:K35,"Krank")</f>
        <v/>
      </c>
      <c r="L39" s="30">
        <f>COUNTIF(L5:L35,"Krank")</f>
        <v/>
      </c>
    </row>
    <row r="40">
      <c r="A40" s="28" t="n"/>
      <c r="B40" s="29" t="inlineStr">
        <is>
          <t>Summe Urlaub</t>
        </is>
      </c>
      <c r="C40" s="30">
        <f>COUNTIF(C5:C35,"Urlaub")</f>
        <v/>
      </c>
      <c r="D40" s="30">
        <f>COUNTIF(D5:D35,"Urlaub")</f>
        <v/>
      </c>
      <c r="E40" s="30">
        <f>COUNTIF(E5:E35,"Urlaub")</f>
        <v/>
      </c>
      <c r="F40" s="30">
        <f>COUNTIF(F5:F35,"Urlaub")</f>
        <v/>
      </c>
      <c r="G40" s="30">
        <f>COUNTIF(G5:G35,"Urlaub")</f>
        <v/>
      </c>
      <c r="H40" s="30">
        <f>COUNTIF(H5:H35,"Urlaub")</f>
        <v/>
      </c>
      <c r="I40" s="30">
        <f>COUNTIF(I5:I35,"Urlaub")</f>
        <v/>
      </c>
      <c r="J40" s="30">
        <f>COUNTIF(J5:J35,"Urlaub")</f>
        <v/>
      </c>
      <c r="K40" s="30">
        <f>COUNTIF(K5:K35,"Urlaub")</f>
        <v/>
      </c>
      <c r="L40" s="30">
        <f>COUNTIF(L5:L35,"Urlaub")</f>
        <v/>
      </c>
    </row>
  </sheetData>
  <mergeCells count="2">
    <mergeCell ref="A2:M2"/>
    <mergeCell ref="A1:M1"/>
  </mergeCells>
  <conditionalFormatting sqref="C5:L35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5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April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4" t="n">
        <v>46113</v>
      </c>
      <c r="B5" s="9" t="inlineStr">
        <is>
          <t>Mittwoch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COUNTIF(C5:L5,"Büro")</f>
        <v/>
      </c>
    </row>
    <row r="6">
      <c r="A6" s="24" t="n">
        <v>46114</v>
      </c>
      <c r="B6" s="9" t="inlineStr">
        <is>
          <t>Donnerstag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1" t="n">
        <v>46115</v>
      </c>
      <c r="B7" s="22" t="inlineStr">
        <is>
          <t>Freitag · Karfreitag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23">
        <f>COUNTIF(C7:L7,"Büro")</f>
        <v/>
      </c>
    </row>
    <row r="8">
      <c r="A8" s="25" t="n">
        <v>46116</v>
      </c>
      <c r="B8" s="26" t="inlineStr">
        <is>
          <t>Samstag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27">
        <f>COUNTIF(C8:L8,"Büro")</f>
        <v/>
      </c>
    </row>
    <row r="9">
      <c r="A9" s="25" t="n">
        <v>46117</v>
      </c>
      <c r="B9" s="26" t="inlineStr">
        <is>
          <t>Sonntag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27">
        <f>COUNTIF(C9:L9,"Büro")</f>
        <v/>
      </c>
    </row>
    <row r="10">
      <c r="A10" s="21" t="n">
        <v>46118</v>
      </c>
      <c r="B10" s="22" t="inlineStr">
        <is>
          <t>Montag · Ostermontag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23">
        <f>COUNTIF(C10:L10,"Büro")</f>
        <v/>
      </c>
    </row>
    <row r="11">
      <c r="A11" s="24" t="n">
        <v>46119</v>
      </c>
      <c r="B11" s="9" t="inlineStr">
        <is>
          <t>Dienstag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4" t="n">
        <v>46120</v>
      </c>
      <c r="B12" s="9" t="inlineStr">
        <is>
          <t>Mittwoch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4" t="n">
        <v>46121</v>
      </c>
      <c r="B13" s="9" t="inlineStr">
        <is>
          <t>Donnerstag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46122</v>
      </c>
      <c r="B14" s="9" t="inlineStr">
        <is>
          <t>Freitag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5" t="n">
        <v>46123</v>
      </c>
      <c r="B15" s="26" t="inlineStr">
        <is>
          <t>Samstag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7">
        <f>COUNTIF(C15:L15,"Büro")</f>
        <v/>
      </c>
    </row>
    <row r="16">
      <c r="A16" s="25" t="n">
        <v>46124</v>
      </c>
      <c r="B16" s="26" t="inlineStr">
        <is>
          <t>Sonntag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27">
        <f>COUNTIF(C16:L16,"Büro")</f>
        <v/>
      </c>
    </row>
    <row r="17">
      <c r="A17" s="24" t="n">
        <v>46125</v>
      </c>
      <c r="B17" s="9" t="inlineStr">
        <is>
          <t>Montag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4" t="n">
        <v>46126</v>
      </c>
      <c r="B18" s="9" t="inlineStr">
        <is>
          <t>Dienstag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COUNTIF(C18:L18,"Büro")</f>
        <v/>
      </c>
    </row>
    <row r="19">
      <c r="A19" s="24" t="n">
        <v>46127</v>
      </c>
      <c r="B19" s="9" t="inlineStr">
        <is>
          <t>Mittwoch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4" t="n">
        <v>46128</v>
      </c>
      <c r="B20" s="9" t="inlineStr">
        <is>
          <t>Donnerstag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46129</v>
      </c>
      <c r="B21" s="9" t="inlineStr">
        <is>
          <t>Freitag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5" t="n">
        <v>46130</v>
      </c>
      <c r="B22" s="26" t="inlineStr">
        <is>
          <t>Samstag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27">
        <f>COUNTIF(C22:L22,"Büro")</f>
        <v/>
      </c>
    </row>
    <row r="23">
      <c r="A23" s="25" t="n">
        <v>46131</v>
      </c>
      <c r="B23" s="26" t="inlineStr">
        <is>
          <t>Sonntag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27">
        <f>COUNTIF(C23:L23,"Büro")</f>
        <v/>
      </c>
    </row>
    <row r="24">
      <c r="A24" s="24" t="n">
        <v>46132</v>
      </c>
      <c r="B24" s="9" t="inlineStr">
        <is>
          <t>Montag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4" t="n">
        <v>46133</v>
      </c>
      <c r="B25" s="9" t="inlineStr">
        <is>
          <t>Dienstag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4" t="n">
        <v>46134</v>
      </c>
      <c r="B26" s="9" t="inlineStr">
        <is>
          <t>Mittwoch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4" t="n">
        <v>46135</v>
      </c>
      <c r="B27" s="9" t="inlineStr">
        <is>
          <t>Donnerstag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46136</v>
      </c>
      <c r="B28" s="9" t="inlineStr">
        <is>
          <t>Freitag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5" t="n">
        <v>46137</v>
      </c>
      <c r="B29" s="26" t="inlineStr">
        <is>
          <t>Samstag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27">
        <f>COUNTIF(C29:L29,"Büro")</f>
        <v/>
      </c>
    </row>
    <row r="30">
      <c r="A30" s="25" t="n">
        <v>46138</v>
      </c>
      <c r="B30" s="26" t="inlineStr">
        <is>
          <t>Sonntag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27">
        <f>COUNTIF(C30:L30,"Büro")</f>
        <v/>
      </c>
    </row>
    <row r="31">
      <c r="A31" s="24" t="n">
        <v>46139</v>
      </c>
      <c r="B31" s="9" t="inlineStr">
        <is>
          <t>Montag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4" t="n">
        <v>46140</v>
      </c>
      <c r="B32" s="9" t="inlineStr">
        <is>
          <t>Dienstag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4" t="n">
        <v>46141</v>
      </c>
      <c r="B33" s="9" t="inlineStr">
        <is>
          <t>Mittwoch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4" t="n">
        <v>46142</v>
      </c>
      <c r="B34" s="9" t="inlineStr">
        <is>
          <t>Donnerstag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6">
      <c r="A36" s="28" t="n"/>
      <c r="B36" s="29" t="inlineStr">
        <is>
          <t>Summe Büro</t>
        </is>
      </c>
      <c r="C36" s="30">
        <f>COUNTIF(C5:C34,"Büro")</f>
        <v/>
      </c>
      <c r="D36" s="30">
        <f>COUNTIF(D5:D34,"Büro")</f>
        <v/>
      </c>
      <c r="E36" s="30">
        <f>COUNTIF(E5:E34,"Büro")</f>
        <v/>
      </c>
      <c r="F36" s="30">
        <f>COUNTIF(F5:F34,"Büro")</f>
        <v/>
      </c>
      <c r="G36" s="30">
        <f>COUNTIF(G5:G34,"Büro")</f>
        <v/>
      </c>
      <c r="H36" s="30">
        <f>COUNTIF(H5:H34,"Büro")</f>
        <v/>
      </c>
      <c r="I36" s="30">
        <f>COUNTIF(I5:I34,"Büro")</f>
        <v/>
      </c>
      <c r="J36" s="30">
        <f>COUNTIF(J5:J34,"Büro")</f>
        <v/>
      </c>
      <c r="K36" s="30">
        <f>COUNTIF(K5:K34,"Büro")</f>
        <v/>
      </c>
      <c r="L36" s="30">
        <f>COUNTIF(L5:L34,"Büro")</f>
        <v/>
      </c>
    </row>
    <row r="37">
      <c r="A37" s="28" t="n"/>
      <c r="B37" s="29" t="inlineStr">
        <is>
          <t>Summe Homeoffice</t>
        </is>
      </c>
      <c r="C37" s="30">
        <f>COUNTIF(C5:C34,"Homeoffice")</f>
        <v/>
      </c>
      <c r="D37" s="30">
        <f>COUNTIF(D5:D34,"Homeoffice")</f>
        <v/>
      </c>
      <c r="E37" s="30">
        <f>COUNTIF(E5:E34,"Homeoffice")</f>
        <v/>
      </c>
      <c r="F37" s="30">
        <f>COUNTIF(F5:F34,"Homeoffice")</f>
        <v/>
      </c>
      <c r="G37" s="30">
        <f>COUNTIF(G5:G34,"Homeoffice")</f>
        <v/>
      </c>
      <c r="H37" s="30">
        <f>COUNTIF(H5:H34,"Homeoffice")</f>
        <v/>
      </c>
      <c r="I37" s="30">
        <f>COUNTIF(I5:I34,"Homeoffice")</f>
        <v/>
      </c>
      <c r="J37" s="30">
        <f>COUNTIF(J5:J34,"Homeoffice")</f>
        <v/>
      </c>
      <c r="K37" s="30">
        <f>COUNTIF(K5:K34,"Homeoffice")</f>
        <v/>
      </c>
      <c r="L37" s="30">
        <f>COUNTIF(L5:L34,"Homeoffice")</f>
        <v/>
      </c>
    </row>
    <row r="38">
      <c r="A38" s="28" t="n"/>
      <c r="B38" s="29" t="inlineStr">
        <is>
          <t>Summe Krank</t>
        </is>
      </c>
      <c r="C38" s="30">
        <f>COUNTIF(C5:C34,"Krank")</f>
        <v/>
      </c>
      <c r="D38" s="30">
        <f>COUNTIF(D5:D34,"Krank")</f>
        <v/>
      </c>
      <c r="E38" s="30">
        <f>COUNTIF(E5:E34,"Krank")</f>
        <v/>
      </c>
      <c r="F38" s="30">
        <f>COUNTIF(F5:F34,"Krank")</f>
        <v/>
      </c>
      <c r="G38" s="30">
        <f>COUNTIF(G5:G34,"Krank")</f>
        <v/>
      </c>
      <c r="H38" s="30">
        <f>COUNTIF(H5:H34,"Krank")</f>
        <v/>
      </c>
      <c r="I38" s="30">
        <f>COUNTIF(I5:I34,"Krank")</f>
        <v/>
      </c>
      <c r="J38" s="30">
        <f>COUNTIF(J5:J34,"Krank")</f>
        <v/>
      </c>
      <c r="K38" s="30">
        <f>COUNTIF(K5:K34,"Krank")</f>
        <v/>
      </c>
      <c r="L38" s="30">
        <f>COUNTIF(L5:L34,"Krank")</f>
        <v/>
      </c>
    </row>
    <row r="39">
      <c r="A39" s="28" t="n"/>
      <c r="B39" s="29" t="inlineStr">
        <is>
          <t>Summe Urlaub</t>
        </is>
      </c>
      <c r="C39" s="30">
        <f>COUNTIF(C5:C34,"Urlaub")</f>
        <v/>
      </c>
      <c r="D39" s="30">
        <f>COUNTIF(D5:D34,"Urlaub")</f>
        <v/>
      </c>
      <c r="E39" s="30">
        <f>COUNTIF(E5:E34,"Urlaub")</f>
        <v/>
      </c>
      <c r="F39" s="30">
        <f>COUNTIF(F5:F34,"Urlaub")</f>
        <v/>
      </c>
      <c r="G39" s="30">
        <f>COUNTIF(G5:G34,"Urlaub")</f>
        <v/>
      </c>
      <c r="H39" s="30">
        <f>COUNTIF(H5:H34,"Urlaub")</f>
        <v/>
      </c>
      <c r="I39" s="30">
        <f>COUNTIF(I5:I34,"Urlaub")</f>
        <v/>
      </c>
      <c r="J39" s="30">
        <f>COUNTIF(J5:J34,"Urlaub")</f>
        <v/>
      </c>
      <c r="K39" s="30">
        <f>COUNTIF(K5:K34,"Urlaub")</f>
        <v/>
      </c>
      <c r="L39" s="30">
        <f>COUNTIF(L5:L34,"Urlaub")</f>
        <v/>
      </c>
    </row>
  </sheetData>
  <mergeCells count="2">
    <mergeCell ref="A2:M2"/>
    <mergeCell ref="A1:M1"/>
  </mergeCells>
  <conditionalFormatting sqref="C5:L34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4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Mai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1" t="n">
        <v>46143</v>
      </c>
      <c r="B5" s="22" t="inlineStr">
        <is>
          <t>Freitag · Tag der Arbeit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23">
        <f>COUNTIF(C5:L5,"Büro")</f>
        <v/>
      </c>
    </row>
    <row r="6">
      <c r="A6" s="25" t="n">
        <v>46144</v>
      </c>
      <c r="B6" s="26" t="inlineStr">
        <is>
          <t>Samstag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27">
        <f>COUNTIF(C6:L6,"Büro")</f>
        <v/>
      </c>
    </row>
    <row r="7">
      <c r="A7" s="25" t="n">
        <v>46145</v>
      </c>
      <c r="B7" s="26" t="inlineStr">
        <is>
          <t>Sonntag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27">
        <f>COUNTIF(C7:L7,"Büro")</f>
        <v/>
      </c>
    </row>
    <row r="8">
      <c r="A8" s="24" t="n">
        <v>46146</v>
      </c>
      <c r="B8" s="9" t="inlineStr">
        <is>
          <t>Montag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4" t="n">
        <v>46147</v>
      </c>
      <c r="B9" s="9" t="inlineStr">
        <is>
          <t>Dienstag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4" t="n">
        <v>46148</v>
      </c>
      <c r="B10" s="9" t="inlineStr">
        <is>
          <t>Mittwoch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4" t="n">
        <v>46149</v>
      </c>
      <c r="B11" s="9" t="inlineStr">
        <is>
          <t>Donnerstag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4" t="n">
        <v>46150</v>
      </c>
      <c r="B12" s="9" t="inlineStr">
        <is>
          <t>Freitag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5" t="n">
        <v>46151</v>
      </c>
      <c r="B13" s="26" t="inlineStr">
        <is>
          <t>Samstag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27">
        <f>COUNTIF(C13:L13,"Büro")</f>
        <v/>
      </c>
    </row>
    <row r="14">
      <c r="A14" s="25" t="n">
        <v>46152</v>
      </c>
      <c r="B14" s="26" t="inlineStr">
        <is>
          <t>Sonntag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7">
        <f>COUNTIF(C14:L14,"Büro")</f>
        <v/>
      </c>
    </row>
    <row r="15">
      <c r="A15" s="24" t="n">
        <v>46153</v>
      </c>
      <c r="B15" s="9" t="inlineStr">
        <is>
          <t>Montag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4" t="n">
        <v>46154</v>
      </c>
      <c r="B16" s="9" t="inlineStr">
        <is>
          <t>Dienstag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4" t="n">
        <v>46155</v>
      </c>
      <c r="B17" s="9" t="inlineStr">
        <is>
          <t>Mittwoch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1" t="n">
        <v>46156</v>
      </c>
      <c r="B18" s="22" t="inlineStr">
        <is>
          <t>Donnerstag · Christi Himmelfahrt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3">
        <f>COUNTIF(C18:L18,"Büro")</f>
        <v/>
      </c>
    </row>
    <row r="19">
      <c r="A19" s="24" t="n">
        <v>46157</v>
      </c>
      <c r="B19" s="9" t="inlineStr">
        <is>
          <t>Freitag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5" t="n">
        <v>46158</v>
      </c>
      <c r="B20" s="26" t="inlineStr">
        <is>
          <t>Samstag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27">
        <f>COUNTIF(C20:L20,"Büro")</f>
        <v/>
      </c>
    </row>
    <row r="21">
      <c r="A21" s="25" t="n">
        <v>46159</v>
      </c>
      <c r="B21" s="26" t="inlineStr">
        <is>
          <t>Sonntag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27">
        <f>COUNTIF(C21:L21,"Büro")</f>
        <v/>
      </c>
    </row>
    <row r="22">
      <c r="A22" s="24" t="n">
        <v>46160</v>
      </c>
      <c r="B22" s="9" t="inlineStr">
        <is>
          <t>Montag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4" t="n">
        <v>46161</v>
      </c>
      <c r="B23" s="9" t="inlineStr">
        <is>
          <t>Dienstag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4" t="n">
        <v>46162</v>
      </c>
      <c r="B24" s="9" t="inlineStr">
        <is>
          <t>Mittwoch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4" t="n">
        <v>46163</v>
      </c>
      <c r="B25" s="9" t="inlineStr">
        <is>
          <t>Donnerstag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4" t="n">
        <v>46164</v>
      </c>
      <c r="B26" s="9" t="inlineStr">
        <is>
          <t>Freitag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5" t="n">
        <v>46165</v>
      </c>
      <c r="B27" s="26" t="inlineStr">
        <is>
          <t>Samstag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7">
        <f>COUNTIF(C27:L27,"Büro")</f>
        <v/>
      </c>
    </row>
    <row r="28">
      <c r="A28" s="25" t="n">
        <v>46166</v>
      </c>
      <c r="B28" s="26" t="inlineStr">
        <is>
          <t>Sonntag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7">
        <f>COUNTIF(C28:L28,"Büro")</f>
        <v/>
      </c>
    </row>
    <row r="29">
      <c r="A29" s="21" t="n">
        <v>46167</v>
      </c>
      <c r="B29" s="22" t="inlineStr">
        <is>
          <t>Montag · Pfingstmontag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23">
        <f>COUNTIF(C29:L29,"Büro")</f>
        <v/>
      </c>
    </row>
    <row r="30">
      <c r="A30" s="24" t="n">
        <v>46168</v>
      </c>
      <c r="B30" s="9" t="inlineStr">
        <is>
          <t>Dienstag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4" t="n">
        <v>46169</v>
      </c>
      <c r="B31" s="9" t="inlineStr">
        <is>
          <t>Mittwoch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4" t="n">
        <v>46170</v>
      </c>
      <c r="B32" s="9" t="inlineStr">
        <is>
          <t>Donnerstag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4" t="n">
        <v>46171</v>
      </c>
      <c r="B33" s="9" t="inlineStr">
        <is>
          <t>Freitag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5" t="n">
        <v>46172</v>
      </c>
      <c r="B34" s="26" t="inlineStr">
        <is>
          <t>Samstag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27">
        <f>COUNTIF(C34:L34,"Büro")</f>
        <v/>
      </c>
    </row>
    <row r="35">
      <c r="A35" s="25" t="n">
        <v>46173</v>
      </c>
      <c r="B35" s="26" t="inlineStr">
        <is>
          <t>Sonntag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27">
        <f>COUNTIF(C35:L35,"Büro")</f>
        <v/>
      </c>
    </row>
    <row r="37">
      <c r="A37" s="28" t="n"/>
      <c r="B37" s="29" t="inlineStr">
        <is>
          <t>Summe Büro</t>
        </is>
      </c>
      <c r="C37" s="30">
        <f>COUNTIF(C5:C35,"Büro")</f>
        <v/>
      </c>
      <c r="D37" s="30">
        <f>COUNTIF(D5:D35,"Büro")</f>
        <v/>
      </c>
      <c r="E37" s="30">
        <f>COUNTIF(E5:E35,"Büro")</f>
        <v/>
      </c>
      <c r="F37" s="30">
        <f>COUNTIF(F5:F35,"Büro")</f>
        <v/>
      </c>
      <c r="G37" s="30">
        <f>COUNTIF(G5:G35,"Büro")</f>
        <v/>
      </c>
      <c r="H37" s="30">
        <f>COUNTIF(H5:H35,"Büro")</f>
        <v/>
      </c>
      <c r="I37" s="30">
        <f>COUNTIF(I5:I35,"Büro")</f>
        <v/>
      </c>
      <c r="J37" s="30">
        <f>COUNTIF(J5:J35,"Büro")</f>
        <v/>
      </c>
      <c r="K37" s="30">
        <f>COUNTIF(K5:K35,"Büro")</f>
        <v/>
      </c>
      <c r="L37" s="30">
        <f>COUNTIF(L5:L35,"Büro")</f>
        <v/>
      </c>
    </row>
    <row r="38">
      <c r="A38" s="28" t="n"/>
      <c r="B38" s="29" t="inlineStr">
        <is>
          <t>Summe Homeoffice</t>
        </is>
      </c>
      <c r="C38" s="30">
        <f>COUNTIF(C5:C35,"Homeoffice")</f>
        <v/>
      </c>
      <c r="D38" s="30">
        <f>COUNTIF(D5:D35,"Homeoffice")</f>
        <v/>
      </c>
      <c r="E38" s="30">
        <f>COUNTIF(E5:E35,"Homeoffice")</f>
        <v/>
      </c>
      <c r="F38" s="30">
        <f>COUNTIF(F5:F35,"Homeoffice")</f>
        <v/>
      </c>
      <c r="G38" s="30">
        <f>COUNTIF(G5:G35,"Homeoffice")</f>
        <v/>
      </c>
      <c r="H38" s="30">
        <f>COUNTIF(H5:H35,"Homeoffice")</f>
        <v/>
      </c>
      <c r="I38" s="30">
        <f>COUNTIF(I5:I35,"Homeoffice")</f>
        <v/>
      </c>
      <c r="J38" s="30">
        <f>COUNTIF(J5:J35,"Homeoffice")</f>
        <v/>
      </c>
      <c r="K38" s="30">
        <f>COUNTIF(K5:K35,"Homeoffice")</f>
        <v/>
      </c>
      <c r="L38" s="30">
        <f>COUNTIF(L5:L35,"Homeoffice")</f>
        <v/>
      </c>
    </row>
    <row r="39">
      <c r="A39" s="28" t="n"/>
      <c r="B39" s="29" t="inlineStr">
        <is>
          <t>Summe Krank</t>
        </is>
      </c>
      <c r="C39" s="30">
        <f>COUNTIF(C5:C35,"Krank")</f>
        <v/>
      </c>
      <c r="D39" s="30">
        <f>COUNTIF(D5:D35,"Krank")</f>
        <v/>
      </c>
      <c r="E39" s="30">
        <f>COUNTIF(E5:E35,"Krank")</f>
        <v/>
      </c>
      <c r="F39" s="30">
        <f>COUNTIF(F5:F35,"Krank")</f>
        <v/>
      </c>
      <c r="G39" s="30">
        <f>COUNTIF(G5:G35,"Krank")</f>
        <v/>
      </c>
      <c r="H39" s="30">
        <f>COUNTIF(H5:H35,"Krank")</f>
        <v/>
      </c>
      <c r="I39" s="30">
        <f>COUNTIF(I5:I35,"Krank")</f>
        <v/>
      </c>
      <c r="J39" s="30">
        <f>COUNTIF(J5:J35,"Krank")</f>
        <v/>
      </c>
      <c r="K39" s="30">
        <f>COUNTIF(K5:K35,"Krank")</f>
        <v/>
      </c>
      <c r="L39" s="30">
        <f>COUNTIF(L5:L35,"Krank")</f>
        <v/>
      </c>
    </row>
    <row r="40">
      <c r="A40" s="28" t="n"/>
      <c r="B40" s="29" t="inlineStr">
        <is>
          <t>Summe Urlaub</t>
        </is>
      </c>
      <c r="C40" s="30">
        <f>COUNTIF(C5:C35,"Urlaub")</f>
        <v/>
      </c>
      <c r="D40" s="30">
        <f>COUNTIF(D5:D35,"Urlaub")</f>
        <v/>
      </c>
      <c r="E40" s="30">
        <f>COUNTIF(E5:E35,"Urlaub")</f>
        <v/>
      </c>
      <c r="F40" s="30">
        <f>COUNTIF(F5:F35,"Urlaub")</f>
        <v/>
      </c>
      <c r="G40" s="30">
        <f>COUNTIF(G5:G35,"Urlaub")</f>
        <v/>
      </c>
      <c r="H40" s="30">
        <f>COUNTIF(H5:H35,"Urlaub")</f>
        <v/>
      </c>
      <c r="I40" s="30">
        <f>COUNTIF(I5:I35,"Urlaub")</f>
        <v/>
      </c>
      <c r="J40" s="30">
        <f>COUNTIF(J5:J35,"Urlaub")</f>
        <v/>
      </c>
      <c r="K40" s="30">
        <f>COUNTIF(K5:K35,"Urlaub")</f>
        <v/>
      </c>
      <c r="L40" s="30">
        <f>COUNTIF(L5:L35,"Urlaub")</f>
        <v/>
      </c>
    </row>
  </sheetData>
  <mergeCells count="2">
    <mergeCell ref="A2:M2"/>
    <mergeCell ref="A1:M1"/>
  </mergeCells>
  <conditionalFormatting sqref="C5:L35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5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Juni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4" t="n">
        <v>46174</v>
      </c>
      <c r="B5" s="9" t="inlineStr">
        <is>
          <t>Montag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COUNTIF(C5:L5,"Büro")</f>
        <v/>
      </c>
    </row>
    <row r="6">
      <c r="A6" s="24" t="n">
        <v>46175</v>
      </c>
      <c r="B6" s="9" t="inlineStr">
        <is>
          <t>Dienstag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4" t="n">
        <v>46176</v>
      </c>
      <c r="B7" s="9" t="inlineStr">
        <is>
          <t>Mittwoch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4" t="n">
        <v>46177</v>
      </c>
      <c r="B8" s="9" t="inlineStr">
        <is>
          <t>Donnerstag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4" t="n">
        <v>46178</v>
      </c>
      <c r="B9" s="9" t="inlineStr">
        <is>
          <t>Freitag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5" t="n">
        <v>46179</v>
      </c>
      <c r="B10" s="26" t="inlineStr">
        <is>
          <t>Samstag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27">
        <f>COUNTIF(C10:L10,"Büro")</f>
        <v/>
      </c>
    </row>
    <row r="11">
      <c r="A11" s="25" t="n">
        <v>46180</v>
      </c>
      <c r="B11" s="26" t="inlineStr">
        <is>
          <t>Sonntag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27">
        <f>COUNTIF(C11:L11,"Büro")</f>
        <v/>
      </c>
    </row>
    <row r="12">
      <c r="A12" s="24" t="n">
        <v>46181</v>
      </c>
      <c r="B12" s="9" t="inlineStr">
        <is>
          <t>Montag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4" t="n">
        <v>46182</v>
      </c>
      <c r="B13" s="9" t="inlineStr">
        <is>
          <t>Dienstag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46183</v>
      </c>
      <c r="B14" s="9" t="inlineStr">
        <is>
          <t>Mittwoch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4" t="n">
        <v>46184</v>
      </c>
      <c r="B15" s="9" t="inlineStr">
        <is>
          <t>Donnerstag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4" t="n">
        <v>46185</v>
      </c>
      <c r="B16" s="9" t="inlineStr">
        <is>
          <t>Freitag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5" t="n">
        <v>46186</v>
      </c>
      <c r="B17" s="26" t="inlineStr">
        <is>
          <t>Samstag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7">
        <f>COUNTIF(C17:L17,"Büro")</f>
        <v/>
      </c>
    </row>
    <row r="18">
      <c r="A18" s="25" t="n">
        <v>46187</v>
      </c>
      <c r="B18" s="26" t="inlineStr">
        <is>
          <t>Sonntag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7">
        <f>COUNTIF(C18:L18,"Büro")</f>
        <v/>
      </c>
    </row>
    <row r="19">
      <c r="A19" s="24" t="n">
        <v>46188</v>
      </c>
      <c r="B19" s="9" t="inlineStr">
        <is>
          <t>Montag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4" t="n">
        <v>46189</v>
      </c>
      <c r="B20" s="9" t="inlineStr">
        <is>
          <t>Dienstag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46190</v>
      </c>
      <c r="B21" s="9" t="inlineStr">
        <is>
          <t>Mittwoch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4" t="n">
        <v>46191</v>
      </c>
      <c r="B22" s="9" t="inlineStr">
        <is>
          <t>Donnerstag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4" t="n">
        <v>46192</v>
      </c>
      <c r="B23" s="9" t="inlineStr">
        <is>
          <t>Freitag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5" t="n">
        <v>46193</v>
      </c>
      <c r="B24" s="26" t="inlineStr">
        <is>
          <t>Samstag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27">
        <f>COUNTIF(C24:L24,"Büro")</f>
        <v/>
      </c>
    </row>
    <row r="25">
      <c r="A25" s="25" t="n">
        <v>46194</v>
      </c>
      <c r="B25" s="26" t="inlineStr">
        <is>
          <t>Sonntag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27">
        <f>COUNTIF(C25:L25,"Büro")</f>
        <v/>
      </c>
    </row>
    <row r="26">
      <c r="A26" s="24" t="n">
        <v>46195</v>
      </c>
      <c r="B26" s="9" t="inlineStr">
        <is>
          <t>Montag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4" t="n">
        <v>46196</v>
      </c>
      <c r="B27" s="9" t="inlineStr">
        <is>
          <t>Dienstag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46197</v>
      </c>
      <c r="B28" s="9" t="inlineStr">
        <is>
          <t>Mittwoch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4" t="n">
        <v>46198</v>
      </c>
      <c r="B29" s="9" t="inlineStr">
        <is>
          <t>Donnerstag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COUNTIF(C29:L29,"Büro")</f>
        <v/>
      </c>
    </row>
    <row r="30">
      <c r="A30" s="24" t="n">
        <v>46199</v>
      </c>
      <c r="B30" s="9" t="inlineStr">
        <is>
          <t>Freitag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5" t="n">
        <v>46200</v>
      </c>
      <c r="B31" s="26" t="inlineStr">
        <is>
          <t>Samstag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27">
        <f>COUNTIF(C31:L31,"Büro")</f>
        <v/>
      </c>
    </row>
    <row r="32">
      <c r="A32" s="25" t="n">
        <v>46201</v>
      </c>
      <c r="B32" s="26" t="inlineStr">
        <is>
          <t>Sonntag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27">
        <f>COUNTIF(C32:L32,"Büro")</f>
        <v/>
      </c>
    </row>
    <row r="33">
      <c r="A33" s="24" t="n">
        <v>46202</v>
      </c>
      <c r="B33" s="9" t="inlineStr">
        <is>
          <t>Montag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4" t="n">
        <v>46203</v>
      </c>
      <c r="B34" s="9" t="inlineStr">
        <is>
          <t>Dienstag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6">
      <c r="A36" s="28" t="n"/>
      <c r="B36" s="29" t="inlineStr">
        <is>
          <t>Summe Büro</t>
        </is>
      </c>
      <c r="C36" s="30">
        <f>COUNTIF(C5:C34,"Büro")</f>
        <v/>
      </c>
      <c r="D36" s="30">
        <f>COUNTIF(D5:D34,"Büro")</f>
        <v/>
      </c>
      <c r="E36" s="30">
        <f>COUNTIF(E5:E34,"Büro")</f>
        <v/>
      </c>
      <c r="F36" s="30">
        <f>COUNTIF(F5:F34,"Büro")</f>
        <v/>
      </c>
      <c r="G36" s="30">
        <f>COUNTIF(G5:G34,"Büro")</f>
        <v/>
      </c>
      <c r="H36" s="30">
        <f>COUNTIF(H5:H34,"Büro")</f>
        <v/>
      </c>
      <c r="I36" s="30">
        <f>COUNTIF(I5:I34,"Büro")</f>
        <v/>
      </c>
      <c r="J36" s="30">
        <f>COUNTIF(J5:J34,"Büro")</f>
        <v/>
      </c>
      <c r="K36" s="30">
        <f>COUNTIF(K5:K34,"Büro")</f>
        <v/>
      </c>
      <c r="L36" s="30">
        <f>COUNTIF(L5:L34,"Büro")</f>
        <v/>
      </c>
    </row>
    <row r="37">
      <c r="A37" s="28" t="n"/>
      <c r="B37" s="29" t="inlineStr">
        <is>
          <t>Summe Homeoffice</t>
        </is>
      </c>
      <c r="C37" s="30">
        <f>COUNTIF(C5:C34,"Homeoffice")</f>
        <v/>
      </c>
      <c r="D37" s="30">
        <f>COUNTIF(D5:D34,"Homeoffice")</f>
        <v/>
      </c>
      <c r="E37" s="30">
        <f>COUNTIF(E5:E34,"Homeoffice")</f>
        <v/>
      </c>
      <c r="F37" s="30">
        <f>COUNTIF(F5:F34,"Homeoffice")</f>
        <v/>
      </c>
      <c r="G37" s="30">
        <f>COUNTIF(G5:G34,"Homeoffice")</f>
        <v/>
      </c>
      <c r="H37" s="30">
        <f>COUNTIF(H5:H34,"Homeoffice")</f>
        <v/>
      </c>
      <c r="I37" s="30">
        <f>COUNTIF(I5:I34,"Homeoffice")</f>
        <v/>
      </c>
      <c r="J37" s="30">
        <f>COUNTIF(J5:J34,"Homeoffice")</f>
        <v/>
      </c>
      <c r="K37" s="30">
        <f>COUNTIF(K5:K34,"Homeoffice")</f>
        <v/>
      </c>
      <c r="L37" s="30">
        <f>COUNTIF(L5:L34,"Homeoffice")</f>
        <v/>
      </c>
    </row>
    <row r="38">
      <c r="A38" s="28" t="n"/>
      <c r="B38" s="29" t="inlineStr">
        <is>
          <t>Summe Krank</t>
        </is>
      </c>
      <c r="C38" s="30">
        <f>COUNTIF(C5:C34,"Krank")</f>
        <v/>
      </c>
      <c r="D38" s="30">
        <f>COUNTIF(D5:D34,"Krank")</f>
        <v/>
      </c>
      <c r="E38" s="30">
        <f>COUNTIF(E5:E34,"Krank")</f>
        <v/>
      </c>
      <c r="F38" s="30">
        <f>COUNTIF(F5:F34,"Krank")</f>
        <v/>
      </c>
      <c r="G38" s="30">
        <f>COUNTIF(G5:G34,"Krank")</f>
        <v/>
      </c>
      <c r="H38" s="30">
        <f>COUNTIF(H5:H34,"Krank")</f>
        <v/>
      </c>
      <c r="I38" s="30">
        <f>COUNTIF(I5:I34,"Krank")</f>
        <v/>
      </c>
      <c r="J38" s="30">
        <f>COUNTIF(J5:J34,"Krank")</f>
        <v/>
      </c>
      <c r="K38" s="30">
        <f>COUNTIF(K5:K34,"Krank")</f>
        <v/>
      </c>
      <c r="L38" s="30">
        <f>COUNTIF(L5:L34,"Krank")</f>
        <v/>
      </c>
    </row>
    <row r="39">
      <c r="A39" s="28" t="n"/>
      <c r="B39" s="29" t="inlineStr">
        <is>
          <t>Summe Urlaub</t>
        </is>
      </c>
      <c r="C39" s="30">
        <f>COUNTIF(C5:C34,"Urlaub")</f>
        <v/>
      </c>
      <c r="D39" s="30">
        <f>COUNTIF(D5:D34,"Urlaub")</f>
        <v/>
      </c>
      <c r="E39" s="30">
        <f>COUNTIF(E5:E34,"Urlaub")</f>
        <v/>
      </c>
      <c r="F39" s="30">
        <f>COUNTIF(F5:F34,"Urlaub")</f>
        <v/>
      </c>
      <c r="G39" s="30">
        <f>COUNTIF(G5:G34,"Urlaub")</f>
        <v/>
      </c>
      <c r="H39" s="30">
        <f>COUNTIF(H5:H34,"Urlaub")</f>
        <v/>
      </c>
      <c r="I39" s="30">
        <f>COUNTIF(I5:I34,"Urlaub")</f>
        <v/>
      </c>
      <c r="J39" s="30">
        <f>COUNTIF(J5:J34,"Urlaub")</f>
        <v/>
      </c>
      <c r="K39" s="30">
        <f>COUNTIF(K5:K34,"Urlaub")</f>
        <v/>
      </c>
      <c r="L39" s="30">
        <f>COUNTIF(L5:L34,"Urlaub")</f>
        <v/>
      </c>
    </row>
  </sheetData>
  <mergeCells count="2">
    <mergeCell ref="A2:M2"/>
    <mergeCell ref="A1:M1"/>
  </mergeCells>
  <conditionalFormatting sqref="C5:L34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4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Juli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4" t="n">
        <v>46204</v>
      </c>
      <c r="B5" s="9" t="inlineStr">
        <is>
          <t>Mittwoch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COUNTIF(C5:L5,"Büro")</f>
        <v/>
      </c>
    </row>
    <row r="6">
      <c r="A6" s="24" t="n">
        <v>46205</v>
      </c>
      <c r="B6" s="9" t="inlineStr">
        <is>
          <t>Donnerstag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4" t="n">
        <v>46206</v>
      </c>
      <c r="B7" s="9" t="inlineStr">
        <is>
          <t>Freitag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5" t="n">
        <v>46207</v>
      </c>
      <c r="B8" s="26" t="inlineStr">
        <is>
          <t>Samstag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27">
        <f>COUNTIF(C8:L8,"Büro")</f>
        <v/>
      </c>
    </row>
    <row r="9">
      <c r="A9" s="25" t="n">
        <v>46208</v>
      </c>
      <c r="B9" s="26" t="inlineStr">
        <is>
          <t>Sonntag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27">
        <f>COUNTIF(C9:L9,"Büro")</f>
        <v/>
      </c>
    </row>
    <row r="10">
      <c r="A10" s="24" t="n">
        <v>46209</v>
      </c>
      <c r="B10" s="9" t="inlineStr">
        <is>
          <t>Montag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4" t="n">
        <v>46210</v>
      </c>
      <c r="B11" s="9" t="inlineStr">
        <is>
          <t>Dienstag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4" t="n">
        <v>46211</v>
      </c>
      <c r="B12" s="9" t="inlineStr">
        <is>
          <t>Mittwoch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4" t="n">
        <v>46212</v>
      </c>
      <c r="B13" s="9" t="inlineStr">
        <is>
          <t>Donnerstag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46213</v>
      </c>
      <c r="B14" s="9" t="inlineStr">
        <is>
          <t>Freitag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5" t="n">
        <v>46214</v>
      </c>
      <c r="B15" s="26" t="inlineStr">
        <is>
          <t>Samstag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7">
        <f>COUNTIF(C15:L15,"Büro")</f>
        <v/>
      </c>
    </row>
    <row r="16">
      <c r="A16" s="25" t="n">
        <v>46215</v>
      </c>
      <c r="B16" s="26" t="inlineStr">
        <is>
          <t>Sonntag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27">
        <f>COUNTIF(C16:L16,"Büro")</f>
        <v/>
      </c>
    </row>
    <row r="17">
      <c r="A17" s="24" t="n">
        <v>46216</v>
      </c>
      <c r="B17" s="9" t="inlineStr">
        <is>
          <t>Montag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4" t="n">
        <v>46217</v>
      </c>
      <c r="B18" s="9" t="inlineStr">
        <is>
          <t>Dienstag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COUNTIF(C18:L18,"Büro")</f>
        <v/>
      </c>
    </row>
    <row r="19">
      <c r="A19" s="24" t="n">
        <v>46218</v>
      </c>
      <c r="B19" s="9" t="inlineStr">
        <is>
          <t>Mittwoch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4" t="n">
        <v>46219</v>
      </c>
      <c r="B20" s="9" t="inlineStr">
        <is>
          <t>Donnerstag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46220</v>
      </c>
      <c r="B21" s="9" t="inlineStr">
        <is>
          <t>Freitag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5" t="n">
        <v>46221</v>
      </c>
      <c r="B22" s="26" t="inlineStr">
        <is>
          <t>Samstag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27">
        <f>COUNTIF(C22:L22,"Büro")</f>
        <v/>
      </c>
    </row>
    <row r="23">
      <c r="A23" s="25" t="n">
        <v>46222</v>
      </c>
      <c r="B23" s="26" t="inlineStr">
        <is>
          <t>Sonntag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27">
        <f>COUNTIF(C23:L23,"Büro")</f>
        <v/>
      </c>
    </row>
    <row r="24">
      <c r="A24" s="24" t="n">
        <v>46223</v>
      </c>
      <c r="B24" s="9" t="inlineStr">
        <is>
          <t>Montag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4" t="n">
        <v>46224</v>
      </c>
      <c r="B25" s="9" t="inlineStr">
        <is>
          <t>Dienstag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4" t="n">
        <v>46225</v>
      </c>
      <c r="B26" s="9" t="inlineStr">
        <is>
          <t>Mittwoch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4" t="n">
        <v>46226</v>
      </c>
      <c r="B27" s="9" t="inlineStr">
        <is>
          <t>Donnerstag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46227</v>
      </c>
      <c r="B28" s="9" t="inlineStr">
        <is>
          <t>Freitag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5" t="n">
        <v>46228</v>
      </c>
      <c r="B29" s="26" t="inlineStr">
        <is>
          <t>Samstag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27">
        <f>COUNTIF(C29:L29,"Büro")</f>
        <v/>
      </c>
    </row>
    <row r="30">
      <c r="A30" s="25" t="n">
        <v>46229</v>
      </c>
      <c r="B30" s="26" t="inlineStr">
        <is>
          <t>Sonntag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27">
        <f>COUNTIF(C30:L30,"Büro")</f>
        <v/>
      </c>
    </row>
    <row r="31">
      <c r="A31" s="24" t="n">
        <v>46230</v>
      </c>
      <c r="B31" s="9" t="inlineStr">
        <is>
          <t>Montag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4" t="n">
        <v>46231</v>
      </c>
      <c r="B32" s="9" t="inlineStr">
        <is>
          <t>Dienstag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4" t="n">
        <v>46232</v>
      </c>
      <c r="B33" s="9" t="inlineStr">
        <is>
          <t>Mittwoch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4" t="n">
        <v>46233</v>
      </c>
      <c r="B34" s="9" t="inlineStr">
        <is>
          <t>Donnerstag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5">
      <c r="A35" s="24" t="n">
        <v>46234</v>
      </c>
      <c r="B35" s="9" t="inlineStr">
        <is>
          <t>Freitag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COUNTIF(C35:L35,"Büro")</f>
        <v/>
      </c>
    </row>
    <row r="37">
      <c r="A37" s="28" t="n"/>
      <c r="B37" s="29" t="inlineStr">
        <is>
          <t>Summe Büro</t>
        </is>
      </c>
      <c r="C37" s="30">
        <f>COUNTIF(C5:C35,"Büro")</f>
        <v/>
      </c>
      <c r="D37" s="30">
        <f>COUNTIF(D5:D35,"Büro")</f>
        <v/>
      </c>
      <c r="E37" s="30">
        <f>COUNTIF(E5:E35,"Büro")</f>
        <v/>
      </c>
      <c r="F37" s="30">
        <f>COUNTIF(F5:F35,"Büro")</f>
        <v/>
      </c>
      <c r="G37" s="30">
        <f>COUNTIF(G5:G35,"Büro")</f>
        <v/>
      </c>
      <c r="H37" s="30">
        <f>COUNTIF(H5:H35,"Büro")</f>
        <v/>
      </c>
      <c r="I37" s="30">
        <f>COUNTIF(I5:I35,"Büro")</f>
        <v/>
      </c>
      <c r="J37" s="30">
        <f>COUNTIF(J5:J35,"Büro")</f>
        <v/>
      </c>
      <c r="K37" s="30">
        <f>COUNTIF(K5:K35,"Büro")</f>
        <v/>
      </c>
      <c r="L37" s="30">
        <f>COUNTIF(L5:L35,"Büro")</f>
        <v/>
      </c>
    </row>
    <row r="38">
      <c r="A38" s="28" t="n"/>
      <c r="B38" s="29" t="inlineStr">
        <is>
          <t>Summe Homeoffice</t>
        </is>
      </c>
      <c r="C38" s="30">
        <f>COUNTIF(C5:C35,"Homeoffice")</f>
        <v/>
      </c>
      <c r="D38" s="30">
        <f>COUNTIF(D5:D35,"Homeoffice")</f>
        <v/>
      </c>
      <c r="E38" s="30">
        <f>COUNTIF(E5:E35,"Homeoffice")</f>
        <v/>
      </c>
      <c r="F38" s="30">
        <f>COUNTIF(F5:F35,"Homeoffice")</f>
        <v/>
      </c>
      <c r="G38" s="30">
        <f>COUNTIF(G5:G35,"Homeoffice")</f>
        <v/>
      </c>
      <c r="H38" s="30">
        <f>COUNTIF(H5:H35,"Homeoffice")</f>
        <v/>
      </c>
      <c r="I38" s="30">
        <f>COUNTIF(I5:I35,"Homeoffice")</f>
        <v/>
      </c>
      <c r="J38" s="30">
        <f>COUNTIF(J5:J35,"Homeoffice")</f>
        <v/>
      </c>
      <c r="K38" s="30">
        <f>COUNTIF(K5:K35,"Homeoffice")</f>
        <v/>
      </c>
      <c r="L38" s="30">
        <f>COUNTIF(L5:L35,"Homeoffice")</f>
        <v/>
      </c>
    </row>
    <row r="39">
      <c r="A39" s="28" t="n"/>
      <c r="B39" s="29" t="inlineStr">
        <is>
          <t>Summe Krank</t>
        </is>
      </c>
      <c r="C39" s="30">
        <f>COUNTIF(C5:C35,"Krank")</f>
        <v/>
      </c>
      <c r="D39" s="30">
        <f>COUNTIF(D5:D35,"Krank")</f>
        <v/>
      </c>
      <c r="E39" s="30">
        <f>COUNTIF(E5:E35,"Krank")</f>
        <v/>
      </c>
      <c r="F39" s="30">
        <f>COUNTIF(F5:F35,"Krank")</f>
        <v/>
      </c>
      <c r="G39" s="30">
        <f>COUNTIF(G5:G35,"Krank")</f>
        <v/>
      </c>
      <c r="H39" s="30">
        <f>COUNTIF(H5:H35,"Krank")</f>
        <v/>
      </c>
      <c r="I39" s="30">
        <f>COUNTIF(I5:I35,"Krank")</f>
        <v/>
      </c>
      <c r="J39" s="30">
        <f>COUNTIF(J5:J35,"Krank")</f>
        <v/>
      </c>
      <c r="K39" s="30">
        <f>COUNTIF(K5:K35,"Krank")</f>
        <v/>
      </c>
      <c r="L39" s="30">
        <f>COUNTIF(L5:L35,"Krank")</f>
        <v/>
      </c>
    </row>
    <row r="40">
      <c r="A40" s="28" t="n"/>
      <c r="B40" s="29" t="inlineStr">
        <is>
          <t>Summe Urlaub</t>
        </is>
      </c>
      <c r="C40" s="30">
        <f>COUNTIF(C5:C35,"Urlaub")</f>
        <v/>
      </c>
      <c r="D40" s="30">
        <f>COUNTIF(D5:D35,"Urlaub")</f>
        <v/>
      </c>
      <c r="E40" s="30">
        <f>COUNTIF(E5:E35,"Urlaub")</f>
        <v/>
      </c>
      <c r="F40" s="30">
        <f>COUNTIF(F5:F35,"Urlaub")</f>
        <v/>
      </c>
      <c r="G40" s="30">
        <f>COUNTIF(G5:G35,"Urlaub")</f>
        <v/>
      </c>
      <c r="H40" s="30">
        <f>COUNTIF(H5:H35,"Urlaub")</f>
        <v/>
      </c>
      <c r="I40" s="30">
        <f>COUNTIF(I5:I35,"Urlaub")</f>
        <v/>
      </c>
      <c r="J40" s="30">
        <f>COUNTIF(J5:J35,"Urlaub")</f>
        <v/>
      </c>
      <c r="K40" s="30">
        <f>COUNTIF(K5:K35,"Urlaub")</f>
        <v/>
      </c>
      <c r="L40" s="30">
        <f>COUNTIF(L5:L35,"Urlaub")</f>
        <v/>
      </c>
    </row>
  </sheetData>
  <mergeCells count="2">
    <mergeCell ref="A2:M2"/>
    <mergeCell ref="A1:M1"/>
  </mergeCells>
  <conditionalFormatting sqref="C5:L35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5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August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5" t="n">
        <v>46235</v>
      </c>
      <c r="B5" s="26" t="inlineStr">
        <is>
          <t>Samstag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27">
        <f>COUNTIF(C5:L5,"Büro")</f>
        <v/>
      </c>
    </row>
    <row r="6">
      <c r="A6" s="25" t="n">
        <v>46236</v>
      </c>
      <c r="B6" s="26" t="inlineStr">
        <is>
          <t>Sonntag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27">
        <f>COUNTIF(C6:L6,"Büro")</f>
        <v/>
      </c>
    </row>
    <row r="7">
      <c r="A7" s="24" t="n">
        <v>46237</v>
      </c>
      <c r="B7" s="9" t="inlineStr">
        <is>
          <t>Montag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4" t="n">
        <v>46238</v>
      </c>
      <c r="B8" s="9" t="inlineStr">
        <is>
          <t>Dienstag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4" t="n">
        <v>46239</v>
      </c>
      <c r="B9" s="9" t="inlineStr">
        <is>
          <t>Mittwoch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4" t="n">
        <v>46240</v>
      </c>
      <c r="B10" s="9" t="inlineStr">
        <is>
          <t>Donnerstag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4" t="n">
        <v>46241</v>
      </c>
      <c r="B11" s="9" t="inlineStr">
        <is>
          <t>Freitag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5" t="n">
        <v>46242</v>
      </c>
      <c r="B12" s="26" t="inlineStr">
        <is>
          <t>Samstag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27">
        <f>COUNTIF(C12:L12,"Büro")</f>
        <v/>
      </c>
    </row>
    <row r="13">
      <c r="A13" s="25" t="n">
        <v>46243</v>
      </c>
      <c r="B13" s="26" t="inlineStr">
        <is>
          <t>Sonntag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27">
        <f>COUNTIF(C13:L13,"Büro")</f>
        <v/>
      </c>
    </row>
    <row r="14">
      <c r="A14" s="24" t="n">
        <v>46244</v>
      </c>
      <c r="B14" s="9" t="inlineStr">
        <is>
          <t>Montag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4" t="n">
        <v>46245</v>
      </c>
      <c r="B15" s="9" t="inlineStr">
        <is>
          <t>Dienstag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4" t="n">
        <v>46246</v>
      </c>
      <c r="B16" s="9" t="inlineStr">
        <is>
          <t>Mittwoch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4" t="n">
        <v>46247</v>
      </c>
      <c r="B17" s="9" t="inlineStr">
        <is>
          <t>Donnerstag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4" t="n">
        <v>46248</v>
      </c>
      <c r="B18" s="9" t="inlineStr">
        <is>
          <t>Freitag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COUNTIF(C18:L18,"Büro")</f>
        <v/>
      </c>
    </row>
    <row r="19">
      <c r="A19" s="25" t="n">
        <v>46249</v>
      </c>
      <c r="B19" s="26" t="inlineStr">
        <is>
          <t>Samstag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7">
        <f>COUNTIF(C19:L19,"Büro")</f>
        <v/>
      </c>
    </row>
    <row r="20">
      <c r="A20" s="25" t="n">
        <v>46250</v>
      </c>
      <c r="B20" s="26" t="inlineStr">
        <is>
          <t>Sonntag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27">
        <f>COUNTIF(C20:L20,"Büro")</f>
        <v/>
      </c>
    </row>
    <row r="21">
      <c r="A21" s="24" t="n">
        <v>46251</v>
      </c>
      <c r="B21" s="9" t="inlineStr">
        <is>
          <t>Montag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4" t="n">
        <v>46252</v>
      </c>
      <c r="B22" s="9" t="inlineStr">
        <is>
          <t>Dienstag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4" t="n">
        <v>46253</v>
      </c>
      <c r="B23" s="9" t="inlineStr">
        <is>
          <t>Mittwoch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4" t="n">
        <v>46254</v>
      </c>
      <c r="B24" s="9" t="inlineStr">
        <is>
          <t>Donnerstag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4" t="n">
        <v>46255</v>
      </c>
      <c r="B25" s="9" t="inlineStr">
        <is>
          <t>Freitag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5" t="n">
        <v>46256</v>
      </c>
      <c r="B26" s="26" t="inlineStr">
        <is>
          <t>Samstag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7">
        <f>COUNTIF(C26:L26,"Büro")</f>
        <v/>
      </c>
    </row>
    <row r="27">
      <c r="A27" s="25" t="n">
        <v>46257</v>
      </c>
      <c r="B27" s="26" t="inlineStr">
        <is>
          <t>Sonntag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7">
        <f>COUNTIF(C27:L27,"Büro")</f>
        <v/>
      </c>
    </row>
    <row r="28">
      <c r="A28" s="24" t="n">
        <v>46258</v>
      </c>
      <c r="B28" s="9" t="inlineStr">
        <is>
          <t>Montag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4" t="n">
        <v>46259</v>
      </c>
      <c r="B29" s="9" t="inlineStr">
        <is>
          <t>Dienstag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COUNTIF(C29:L29,"Büro")</f>
        <v/>
      </c>
    </row>
    <row r="30">
      <c r="A30" s="24" t="n">
        <v>46260</v>
      </c>
      <c r="B30" s="9" t="inlineStr">
        <is>
          <t>Mittwoch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4" t="n">
        <v>46261</v>
      </c>
      <c r="B31" s="9" t="inlineStr">
        <is>
          <t>Donnerstag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4" t="n">
        <v>46262</v>
      </c>
      <c r="B32" s="9" t="inlineStr">
        <is>
          <t>Freitag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5" t="n">
        <v>46263</v>
      </c>
      <c r="B33" s="26" t="inlineStr">
        <is>
          <t>Samstag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27">
        <f>COUNTIF(C33:L33,"Büro")</f>
        <v/>
      </c>
    </row>
    <row r="34">
      <c r="A34" s="25" t="n">
        <v>46264</v>
      </c>
      <c r="B34" s="26" t="inlineStr">
        <is>
          <t>Sonntag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27">
        <f>COUNTIF(C34:L34,"Büro")</f>
        <v/>
      </c>
    </row>
    <row r="35">
      <c r="A35" s="24" t="n">
        <v>46265</v>
      </c>
      <c r="B35" s="9" t="inlineStr">
        <is>
          <t>Montag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COUNTIF(C35:L35,"Büro")</f>
        <v/>
      </c>
    </row>
    <row r="37">
      <c r="A37" s="28" t="n"/>
      <c r="B37" s="29" t="inlineStr">
        <is>
          <t>Summe Büro</t>
        </is>
      </c>
      <c r="C37" s="30">
        <f>COUNTIF(C5:C35,"Büro")</f>
        <v/>
      </c>
      <c r="D37" s="30">
        <f>COUNTIF(D5:D35,"Büro")</f>
        <v/>
      </c>
      <c r="E37" s="30">
        <f>COUNTIF(E5:E35,"Büro")</f>
        <v/>
      </c>
      <c r="F37" s="30">
        <f>COUNTIF(F5:F35,"Büro")</f>
        <v/>
      </c>
      <c r="G37" s="30">
        <f>COUNTIF(G5:G35,"Büro")</f>
        <v/>
      </c>
      <c r="H37" s="30">
        <f>COUNTIF(H5:H35,"Büro")</f>
        <v/>
      </c>
      <c r="I37" s="30">
        <f>COUNTIF(I5:I35,"Büro")</f>
        <v/>
      </c>
      <c r="J37" s="30">
        <f>COUNTIF(J5:J35,"Büro")</f>
        <v/>
      </c>
      <c r="K37" s="30">
        <f>COUNTIF(K5:K35,"Büro")</f>
        <v/>
      </c>
      <c r="L37" s="30">
        <f>COUNTIF(L5:L35,"Büro")</f>
        <v/>
      </c>
    </row>
    <row r="38">
      <c r="A38" s="28" t="n"/>
      <c r="B38" s="29" t="inlineStr">
        <is>
          <t>Summe Homeoffice</t>
        </is>
      </c>
      <c r="C38" s="30">
        <f>COUNTIF(C5:C35,"Homeoffice")</f>
        <v/>
      </c>
      <c r="D38" s="30">
        <f>COUNTIF(D5:D35,"Homeoffice")</f>
        <v/>
      </c>
      <c r="E38" s="30">
        <f>COUNTIF(E5:E35,"Homeoffice")</f>
        <v/>
      </c>
      <c r="F38" s="30">
        <f>COUNTIF(F5:F35,"Homeoffice")</f>
        <v/>
      </c>
      <c r="G38" s="30">
        <f>COUNTIF(G5:G35,"Homeoffice")</f>
        <v/>
      </c>
      <c r="H38" s="30">
        <f>COUNTIF(H5:H35,"Homeoffice")</f>
        <v/>
      </c>
      <c r="I38" s="30">
        <f>COUNTIF(I5:I35,"Homeoffice")</f>
        <v/>
      </c>
      <c r="J38" s="30">
        <f>COUNTIF(J5:J35,"Homeoffice")</f>
        <v/>
      </c>
      <c r="K38" s="30">
        <f>COUNTIF(K5:K35,"Homeoffice")</f>
        <v/>
      </c>
      <c r="L38" s="30">
        <f>COUNTIF(L5:L35,"Homeoffice")</f>
        <v/>
      </c>
    </row>
    <row r="39">
      <c r="A39" s="28" t="n"/>
      <c r="B39" s="29" t="inlineStr">
        <is>
          <t>Summe Krank</t>
        </is>
      </c>
      <c r="C39" s="30">
        <f>COUNTIF(C5:C35,"Krank")</f>
        <v/>
      </c>
      <c r="D39" s="30">
        <f>COUNTIF(D5:D35,"Krank")</f>
        <v/>
      </c>
      <c r="E39" s="30">
        <f>COUNTIF(E5:E35,"Krank")</f>
        <v/>
      </c>
      <c r="F39" s="30">
        <f>COUNTIF(F5:F35,"Krank")</f>
        <v/>
      </c>
      <c r="G39" s="30">
        <f>COUNTIF(G5:G35,"Krank")</f>
        <v/>
      </c>
      <c r="H39" s="30">
        <f>COUNTIF(H5:H35,"Krank")</f>
        <v/>
      </c>
      <c r="I39" s="30">
        <f>COUNTIF(I5:I35,"Krank")</f>
        <v/>
      </c>
      <c r="J39" s="30">
        <f>COUNTIF(J5:J35,"Krank")</f>
        <v/>
      </c>
      <c r="K39" s="30">
        <f>COUNTIF(K5:K35,"Krank")</f>
        <v/>
      </c>
      <c r="L39" s="30">
        <f>COUNTIF(L5:L35,"Krank")</f>
        <v/>
      </c>
    </row>
    <row r="40">
      <c r="A40" s="28" t="n"/>
      <c r="B40" s="29" t="inlineStr">
        <is>
          <t>Summe Urlaub</t>
        </is>
      </c>
      <c r="C40" s="30">
        <f>COUNTIF(C5:C35,"Urlaub")</f>
        <v/>
      </c>
      <c r="D40" s="30">
        <f>COUNTIF(D5:D35,"Urlaub")</f>
        <v/>
      </c>
      <c r="E40" s="30">
        <f>COUNTIF(E5:E35,"Urlaub")</f>
        <v/>
      </c>
      <c r="F40" s="30">
        <f>COUNTIF(F5:F35,"Urlaub")</f>
        <v/>
      </c>
      <c r="G40" s="30">
        <f>COUNTIF(G5:G35,"Urlaub")</f>
        <v/>
      </c>
      <c r="H40" s="30">
        <f>COUNTIF(H5:H35,"Urlaub")</f>
        <v/>
      </c>
      <c r="I40" s="30">
        <f>COUNTIF(I5:I35,"Urlaub")</f>
        <v/>
      </c>
      <c r="J40" s="30">
        <f>COUNTIF(J5:J35,"Urlaub")</f>
        <v/>
      </c>
      <c r="K40" s="30">
        <f>COUNTIF(K5:K35,"Urlaub")</f>
        <v/>
      </c>
      <c r="L40" s="30">
        <f>COUNTIF(L5:L35,"Urlaub")</f>
        <v/>
      </c>
    </row>
  </sheetData>
  <mergeCells count="2">
    <mergeCell ref="A2:M2"/>
    <mergeCell ref="A1:M1"/>
  </mergeCells>
  <conditionalFormatting sqref="C5:L35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5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September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4" t="n">
        <v>46266</v>
      </c>
      <c r="B5" s="9" t="inlineStr">
        <is>
          <t>Dienstag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COUNTIF(C5:L5,"Büro")</f>
        <v/>
      </c>
    </row>
    <row r="6">
      <c r="A6" s="24" t="n">
        <v>46267</v>
      </c>
      <c r="B6" s="9" t="inlineStr">
        <is>
          <t>Mittwoch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4" t="n">
        <v>46268</v>
      </c>
      <c r="B7" s="9" t="inlineStr">
        <is>
          <t>Donnerstag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4" t="n">
        <v>46269</v>
      </c>
      <c r="B8" s="9" t="inlineStr">
        <is>
          <t>Freitag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5" t="n">
        <v>46270</v>
      </c>
      <c r="B9" s="26" t="inlineStr">
        <is>
          <t>Samstag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27">
        <f>COUNTIF(C9:L9,"Büro")</f>
        <v/>
      </c>
    </row>
    <row r="10">
      <c r="A10" s="25" t="n">
        <v>46271</v>
      </c>
      <c r="B10" s="26" t="inlineStr">
        <is>
          <t>Sonntag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27">
        <f>COUNTIF(C10:L10,"Büro")</f>
        <v/>
      </c>
    </row>
    <row r="11">
      <c r="A11" s="24" t="n">
        <v>46272</v>
      </c>
      <c r="B11" s="9" t="inlineStr">
        <is>
          <t>Montag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4" t="n">
        <v>46273</v>
      </c>
      <c r="B12" s="9" t="inlineStr">
        <is>
          <t>Dienstag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4" t="n">
        <v>46274</v>
      </c>
      <c r="B13" s="9" t="inlineStr">
        <is>
          <t>Mittwoch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46275</v>
      </c>
      <c r="B14" s="9" t="inlineStr">
        <is>
          <t>Donnerstag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4" t="n">
        <v>46276</v>
      </c>
      <c r="B15" s="9" t="inlineStr">
        <is>
          <t>Freitag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5" t="n">
        <v>46277</v>
      </c>
      <c r="B16" s="26" t="inlineStr">
        <is>
          <t>Samstag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27">
        <f>COUNTIF(C16:L16,"Büro")</f>
        <v/>
      </c>
    </row>
    <row r="17">
      <c r="A17" s="25" t="n">
        <v>46278</v>
      </c>
      <c r="B17" s="26" t="inlineStr">
        <is>
          <t>Sonntag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7">
        <f>COUNTIF(C17:L17,"Büro")</f>
        <v/>
      </c>
    </row>
    <row r="18">
      <c r="A18" s="24" t="n">
        <v>46279</v>
      </c>
      <c r="B18" s="9" t="inlineStr">
        <is>
          <t>Montag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COUNTIF(C18:L18,"Büro")</f>
        <v/>
      </c>
    </row>
    <row r="19">
      <c r="A19" s="24" t="n">
        <v>46280</v>
      </c>
      <c r="B19" s="9" t="inlineStr">
        <is>
          <t>Dienstag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4" t="n">
        <v>46281</v>
      </c>
      <c r="B20" s="9" t="inlineStr">
        <is>
          <t>Mittwoch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46282</v>
      </c>
      <c r="B21" s="9" t="inlineStr">
        <is>
          <t>Donnerstag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4" t="n">
        <v>46283</v>
      </c>
      <c r="B22" s="9" t="inlineStr">
        <is>
          <t>Freitag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5" t="n">
        <v>46284</v>
      </c>
      <c r="B23" s="26" t="inlineStr">
        <is>
          <t>Samstag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27">
        <f>COUNTIF(C23:L23,"Büro")</f>
        <v/>
      </c>
    </row>
    <row r="24">
      <c r="A24" s="25" t="n">
        <v>46285</v>
      </c>
      <c r="B24" s="26" t="inlineStr">
        <is>
          <t>Sonntag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27">
        <f>COUNTIF(C24:L24,"Büro")</f>
        <v/>
      </c>
    </row>
    <row r="25">
      <c r="A25" s="24" t="n">
        <v>46286</v>
      </c>
      <c r="B25" s="9" t="inlineStr">
        <is>
          <t>Montag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4" t="n">
        <v>46287</v>
      </c>
      <c r="B26" s="9" t="inlineStr">
        <is>
          <t>Dienstag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4" t="n">
        <v>46288</v>
      </c>
      <c r="B27" s="9" t="inlineStr">
        <is>
          <t>Mittwoch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46289</v>
      </c>
      <c r="B28" s="9" t="inlineStr">
        <is>
          <t>Donnerstag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4" t="n">
        <v>46290</v>
      </c>
      <c r="B29" s="9" t="inlineStr">
        <is>
          <t>Freitag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COUNTIF(C29:L29,"Büro")</f>
        <v/>
      </c>
    </row>
    <row r="30">
      <c r="A30" s="25" t="n">
        <v>46291</v>
      </c>
      <c r="B30" s="26" t="inlineStr">
        <is>
          <t>Samstag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27">
        <f>COUNTIF(C30:L30,"Büro")</f>
        <v/>
      </c>
    </row>
    <row r="31">
      <c r="A31" s="25" t="n">
        <v>46292</v>
      </c>
      <c r="B31" s="26" t="inlineStr">
        <is>
          <t>Sonntag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27">
        <f>COUNTIF(C31:L31,"Büro")</f>
        <v/>
      </c>
    </row>
    <row r="32">
      <c r="A32" s="24" t="n">
        <v>46293</v>
      </c>
      <c r="B32" s="9" t="inlineStr">
        <is>
          <t>Montag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4" t="n">
        <v>46294</v>
      </c>
      <c r="B33" s="9" t="inlineStr">
        <is>
          <t>Dienstag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4" t="n">
        <v>46295</v>
      </c>
      <c r="B34" s="9" t="inlineStr">
        <is>
          <t>Mittwoch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6">
      <c r="A36" s="28" t="n"/>
      <c r="B36" s="29" t="inlineStr">
        <is>
          <t>Summe Büro</t>
        </is>
      </c>
      <c r="C36" s="30">
        <f>COUNTIF(C5:C34,"Büro")</f>
        <v/>
      </c>
      <c r="D36" s="30">
        <f>COUNTIF(D5:D34,"Büro")</f>
        <v/>
      </c>
      <c r="E36" s="30">
        <f>COUNTIF(E5:E34,"Büro")</f>
        <v/>
      </c>
      <c r="F36" s="30">
        <f>COUNTIF(F5:F34,"Büro")</f>
        <v/>
      </c>
      <c r="G36" s="30">
        <f>COUNTIF(G5:G34,"Büro")</f>
        <v/>
      </c>
      <c r="H36" s="30">
        <f>COUNTIF(H5:H34,"Büro")</f>
        <v/>
      </c>
      <c r="I36" s="30">
        <f>COUNTIF(I5:I34,"Büro")</f>
        <v/>
      </c>
      <c r="J36" s="30">
        <f>COUNTIF(J5:J34,"Büro")</f>
        <v/>
      </c>
      <c r="K36" s="30">
        <f>COUNTIF(K5:K34,"Büro")</f>
        <v/>
      </c>
      <c r="L36" s="30">
        <f>COUNTIF(L5:L34,"Büro")</f>
        <v/>
      </c>
    </row>
    <row r="37">
      <c r="A37" s="28" t="n"/>
      <c r="B37" s="29" t="inlineStr">
        <is>
          <t>Summe Homeoffice</t>
        </is>
      </c>
      <c r="C37" s="30">
        <f>COUNTIF(C5:C34,"Homeoffice")</f>
        <v/>
      </c>
      <c r="D37" s="30">
        <f>COUNTIF(D5:D34,"Homeoffice")</f>
        <v/>
      </c>
      <c r="E37" s="30">
        <f>COUNTIF(E5:E34,"Homeoffice")</f>
        <v/>
      </c>
      <c r="F37" s="30">
        <f>COUNTIF(F5:F34,"Homeoffice")</f>
        <v/>
      </c>
      <c r="G37" s="30">
        <f>COUNTIF(G5:G34,"Homeoffice")</f>
        <v/>
      </c>
      <c r="H37" s="30">
        <f>COUNTIF(H5:H34,"Homeoffice")</f>
        <v/>
      </c>
      <c r="I37" s="30">
        <f>COUNTIF(I5:I34,"Homeoffice")</f>
        <v/>
      </c>
      <c r="J37" s="30">
        <f>COUNTIF(J5:J34,"Homeoffice")</f>
        <v/>
      </c>
      <c r="K37" s="30">
        <f>COUNTIF(K5:K34,"Homeoffice")</f>
        <v/>
      </c>
      <c r="L37" s="30">
        <f>COUNTIF(L5:L34,"Homeoffice")</f>
        <v/>
      </c>
    </row>
    <row r="38">
      <c r="A38" s="28" t="n"/>
      <c r="B38" s="29" t="inlineStr">
        <is>
          <t>Summe Krank</t>
        </is>
      </c>
      <c r="C38" s="30">
        <f>COUNTIF(C5:C34,"Krank")</f>
        <v/>
      </c>
      <c r="D38" s="30">
        <f>COUNTIF(D5:D34,"Krank")</f>
        <v/>
      </c>
      <c r="E38" s="30">
        <f>COUNTIF(E5:E34,"Krank")</f>
        <v/>
      </c>
      <c r="F38" s="30">
        <f>COUNTIF(F5:F34,"Krank")</f>
        <v/>
      </c>
      <c r="G38" s="30">
        <f>COUNTIF(G5:G34,"Krank")</f>
        <v/>
      </c>
      <c r="H38" s="30">
        <f>COUNTIF(H5:H34,"Krank")</f>
        <v/>
      </c>
      <c r="I38" s="30">
        <f>COUNTIF(I5:I34,"Krank")</f>
        <v/>
      </c>
      <c r="J38" s="30">
        <f>COUNTIF(J5:J34,"Krank")</f>
        <v/>
      </c>
      <c r="K38" s="30">
        <f>COUNTIF(K5:K34,"Krank")</f>
        <v/>
      </c>
      <c r="L38" s="30">
        <f>COUNTIF(L5:L34,"Krank")</f>
        <v/>
      </c>
    </row>
    <row r="39">
      <c r="A39" s="28" t="n"/>
      <c r="B39" s="29" t="inlineStr">
        <is>
          <t>Summe Urlaub</t>
        </is>
      </c>
      <c r="C39" s="30">
        <f>COUNTIF(C5:C34,"Urlaub")</f>
        <v/>
      </c>
      <c r="D39" s="30">
        <f>COUNTIF(D5:D34,"Urlaub")</f>
        <v/>
      </c>
      <c r="E39" s="30">
        <f>COUNTIF(E5:E34,"Urlaub")</f>
        <v/>
      </c>
      <c r="F39" s="30">
        <f>COUNTIF(F5:F34,"Urlaub")</f>
        <v/>
      </c>
      <c r="G39" s="30">
        <f>COUNTIF(G5:G34,"Urlaub")</f>
        <v/>
      </c>
      <c r="H39" s="30">
        <f>COUNTIF(H5:H34,"Urlaub")</f>
        <v/>
      </c>
      <c r="I39" s="30">
        <f>COUNTIF(I5:I34,"Urlaub")</f>
        <v/>
      </c>
      <c r="J39" s="30">
        <f>COUNTIF(J5:J34,"Urlaub")</f>
        <v/>
      </c>
      <c r="K39" s="30">
        <f>COUNTIF(K5:K34,"Urlaub")</f>
        <v/>
      </c>
      <c r="L39" s="30">
        <f>COUNTIF(L5:L34,"Urlaub")</f>
        <v/>
      </c>
    </row>
  </sheetData>
  <mergeCells count="2">
    <mergeCell ref="A2:M2"/>
    <mergeCell ref="A1:M1"/>
  </mergeCells>
  <conditionalFormatting sqref="C5:L34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4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Oktober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4" t="n">
        <v>46296</v>
      </c>
      <c r="B5" s="9" t="inlineStr">
        <is>
          <t>Donnerstag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COUNTIF(C5:L5,"Büro")</f>
        <v/>
      </c>
    </row>
    <row r="6">
      <c r="A6" s="24" t="n">
        <v>46297</v>
      </c>
      <c r="B6" s="9" t="inlineStr">
        <is>
          <t>Freitag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1" t="n">
        <v>46298</v>
      </c>
      <c r="B7" s="22" t="inlineStr">
        <is>
          <t>Samstag · Tag der Deutschen Einheit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23">
        <f>COUNTIF(C7:L7,"Büro")</f>
        <v/>
      </c>
    </row>
    <row r="8">
      <c r="A8" s="25" t="n">
        <v>46299</v>
      </c>
      <c r="B8" s="26" t="inlineStr">
        <is>
          <t>Sonntag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27">
        <f>COUNTIF(C8:L8,"Büro")</f>
        <v/>
      </c>
    </row>
    <row r="9">
      <c r="A9" s="24" t="n">
        <v>46300</v>
      </c>
      <c r="B9" s="9" t="inlineStr">
        <is>
          <t>Montag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4" t="n">
        <v>46301</v>
      </c>
      <c r="B10" s="9" t="inlineStr">
        <is>
          <t>Dienstag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4" t="n">
        <v>46302</v>
      </c>
      <c r="B11" s="9" t="inlineStr">
        <is>
          <t>Mittwoch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4" t="n">
        <v>46303</v>
      </c>
      <c r="B12" s="9" t="inlineStr">
        <is>
          <t>Donnerstag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4" t="n">
        <v>46304</v>
      </c>
      <c r="B13" s="9" t="inlineStr">
        <is>
          <t>Freitag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5" t="n">
        <v>46305</v>
      </c>
      <c r="B14" s="26" t="inlineStr">
        <is>
          <t>Samstag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7">
        <f>COUNTIF(C14:L14,"Büro")</f>
        <v/>
      </c>
    </row>
    <row r="15">
      <c r="A15" s="25" t="n">
        <v>46306</v>
      </c>
      <c r="B15" s="26" t="inlineStr">
        <is>
          <t>Sonntag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7">
        <f>COUNTIF(C15:L15,"Büro")</f>
        <v/>
      </c>
    </row>
    <row r="16">
      <c r="A16" s="24" t="n">
        <v>46307</v>
      </c>
      <c r="B16" s="9" t="inlineStr">
        <is>
          <t>Montag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4" t="n">
        <v>46308</v>
      </c>
      <c r="B17" s="9" t="inlineStr">
        <is>
          <t>Dienstag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4" t="n">
        <v>46309</v>
      </c>
      <c r="B18" s="9" t="inlineStr">
        <is>
          <t>Mittwoch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COUNTIF(C18:L18,"Büro")</f>
        <v/>
      </c>
    </row>
    <row r="19">
      <c r="A19" s="24" t="n">
        <v>46310</v>
      </c>
      <c r="B19" s="9" t="inlineStr">
        <is>
          <t>Donnerstag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4" t="n">
        <v>46311</v>
      </c>
      <c r="B20" s="9" t="inlineStr">
        <is>
          <t>Freitag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5" t="n">
        <v>46312</v>
      </c>
      <c r="B21" s="26" t="inlineStr">
        <is>
          <t>Samstag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27">
        <f>COUNTIF(C21:L21,"Büro")</f>
        <v/>
      </c>
    </row>
    <row r="22">
      <c r="A22" s="25" t="n">
        <v>46313</v>
      </c>
      <c r="B22" s="26" t="inlineStr">
        <is>
          <t>Sonntag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27">
        <f>COUNTIF(C22:L22,"Büro")</f>
        <v/>
      </c>
    </row>
    <row r="23">
      <c r="A23" s="24" t="n">
        <v>46314</v>
      </c>
      <c r="B23" s="9" t="inlineStr">
        <is>
          <t>Montag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4" t="n">
        <v>46315</v>
      </c>
      <c r="B24" s="9" t="inlineStr">
        <is>
          <t>Dienstag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4" t="n">
        <v>46316</v>
      </c>
      <c r="B25" s="9" t="inlineStr">
        <is>
          <t>Mittwoch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4" t="n">
        <v>46317</v>
      </c>
      <c r="B26" s="9" t="inlineStr">
        <is>
          <t>Donnerstag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4" t="n">
        <v>46318</v>
      </c>
      <c r="B27" s="9" t="inlineStr">
        <is>
          <t>Freitag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5" t="n">
        <v>46319</v>
      </c>
      <c r="B28" s="26" t="inlineStr">
        <is>
          <t>Samstag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7">
        <f>COUNTIF(C28:L28,"Büro")</f>
        <v/>
      </c>
    </row>
    <row r="29">
      <c r="A29" s="25" t="n">
        <v>46320</v>
      </c>
      <c r="B29" s="26" t="inlineStr">
        <is>
          <t>Sonntag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27">
        <f>COUNTIF(C29:L29,"Büro")</f>
        <v/>
      </c>
    </row>
    <row r="30">
      <c r="A30" s="24" t="n">
        <v>46321</v>
      </c>
      <c r="B30" s="9" t="inlineStr">
        <is>
          <t>Montag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4" t="n">
        <v>46322</v>
      </c>
      <c r="B31" s="9" t="inlineStr">
        <is>
          <t>Dienstag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4" t="n">
        <v>46323</v>
      </c>
      <c r="B32" s="9" t="inlineStr">
        <is>
          <t>Mittwoch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4" t="n">
        <v>46324</v>
      </c>
      <c r="B33" s="9" t="inlineStr">
        <is>
          <t>Donnerstag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4" t="n">
        <v>46325</v>
      </c>
      <c r="B34" s="9" t="inlineStr">
        <is>
          <t>Freitag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5">
      <c r="A35" s="25" t="n">
        <v>46326</v>
      </c>
      <c r="B35" s="26" t="inlineStr">
        <is>
          <t>Samstag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27">
        <f>COUNTIF(C35:L35,"Büro")</f>
        <v/>
      </c>
    </row>
    <row r="37">
      <c r="A37" s="28" t="n"/>
      <c r="B37" s="29" t="inlineStr">
        <is>
          <t>Summe Büro</t>
        </is>
      </c>
      <c r="C37" s="30">
        <f>COUNTIF(C5:C35,"Büro")</f>
        <v/>
      </c>
      <c r="D37" s="30">
        <f>COUNTIF(D5:D35,"Büro")</f>
        <v/>
      </c>
      <c r="E37" s="30">
        <f>COUNTIF(E5:E35,"Büro")</f>
        <v/>
      </c>
      <c r="F37" s="30">
        <f>COUNTIF(F5:F35,"Büro")</f>
        <v/>
      </c>
      <c r="G37" s="30">
        <f>COUNTIF(G5:G35,"Büro")</f>
        <v/>
      </c>
      <c r="H37" s="30">
        <f>COUNTIF(H5:H35,"Büro")</f>
        <v/>
      </c>
      <c r="I37" s="30">
        <f>COUNTIF(I5:I35,"Büro")</f>
        <v/>
      </c>
      <c r="J37" s="30">
        <f>COUNTIF(J5:J35,"Büro")</f>
        <v/>
      </c>
      <c r="K37" s="30">
        <f>COUNTIF(K5:K35,"Büro")</f>
        <v/>
      </c>
      <c r="L37" s="30">
        <f>COUNTIF(L5:L35,"Büro")</f>
        <v/>
      </c>
    </row>
    <row r="38">
      <c r="A38" s="28" t="n"/>
      <c r="B38" s="29" t="inlineStr">
        <is>
          <t>Summe Homeoffice</t>
        </is>
      </c>
      <c r="C38" s="30">
        <f>COUNTIF(C5:C35,"Homeoffice")</f>
        <v/>
      </c>
      <c r="D38" s="30">
        <f>COUNTIF(D5:D35,"Homeoffice")</f>
        <v/>
      </c>
      <c r="E38" s="30">
        <f>COUNTIF(E5:E35,"Homeoffice")</f>
        <v/>
      </c>
      <c r="F38" s="30">
        <f>COUNTIF(F5:F35,"Homeoffice")</f>
        <v/>
      </c>
      <c r="G38" s="30">
        <f>COUNTIF(G5:G35,"Homeoffice")</f>
        <v/>
      </c>
      <c r="H38" s="30">
        <f>COUNTIF(H5:H35,"Homeoffice")</f>
        <v/>
      </c>
      <c r="I38" s="30">
        <f>COUNTIF(I5:I35,"Homeoffice")</f>
        <v/>
      </c>
      <c r="J38" s="30">
        <f>COUNTIF(J5:J35,"Homeoffice")</f>
        <v/>
      </c>
      <c r="K38" s="30">
        <f>COUNTIF(K5:K35,"Homeoffice")</f>
        <v/>
      </c>
      <c r="L38" s="30">
        <f>COUNTIF(L5:L35,"Homeoffice")</f>
        <v/>
      </c>
    </row>
    <row r="39">
      <c r="A39" s="28" t="n"/>
      <c r="B39" s="29" t="inlineStr">
        <is>
          <t>Summe Krank</t>
        </is>
      </c>
      <c r="C39" s="30">
        <f>COUNTIF(C5:C35,"Krank")</f>
        <v/>
      </c>
      <c r="D39" s="30">
        <f>COUNTIF(D5:D35,"Krank")</f>
        <v/>
      </c>
      <c r="E39" s="30">
        <f>COUNTIF(E5:E35,"Krank")</f>
        <v/>
      </c>
      <c r="F39" s="30">
        <f>COUNTIF(F5:F35,"Krank")</f>
        <v/>
      </c>
      <c r="G39" s="30">
        <f>COUNTIF(G5:G35,"Krank")</f>
        <v/>
      </c>
      <c r="H39" s="30">
        <f>COUNTIF(H5:H35,"Krank")</f>
        <v/>
      </c>
      <c r="I39" s="30">
        <f>COUNTIF(I5:I35,"Krank")</f>
        <v/>
      </c>
      <c r="J39" s="30">
        <f>COUNTIF(J5:J35,"Krank")</f>
        <v/>
      </c>
      <c r="K39" s="30">
        <f>COUNTIF(K5:K35,"Krank")</f>
        <v/>
      </c>
      <c r="L39" s="30">
        <f>COUNTIF(L5:L35,"Krank")</f>
        <v/>
      </c>
    </row>
    <row r="40">
      <c r="A40" s="28" t="n"/>
      <c r="B40" s="29" t="inlineStr">
        <is>
          <t>Summe Urlaub</t>
        </is>
      </c>
      <c r="C40" s="30">
        <f>COUNTIF(C5:C35,"Urlaub")</f>
        <v/>
      </c>
      <c r="D40" s="30">
        <f>COUNTIF(D5:D35,"Urlaub")</f>
        <v/>
      </c>
      <c r="E40" s="30">
        <f>COUNTIF(E5:E35,"Urlaub")</f>
        <v/>
      </c>
      <c r="F40" s="30">
        <f>COUNTIF(F5:F35,"Urlaub")</f>
        <v/>
      </c>
      <c r="G40" s="30">
        <f>COUNTIF(G5:G35,"Urlaub")</f>
        <v/>
      </c>
      <c r="H40" s="30">
        <f>COUNTIF(H5:H35,"Urlaub")</f>
        <v/>
      </c>
      <c r="I40" s="30">
        <f>COUNTIF(I5:I35,"Urlaub")</f>
        <v/>
      </c>
      <c r="J40" s="30">
        <f>COUNTIF(J5:J35,"Urlaub")</f>
        <v/>
      </c>
      <c r="K40" s="30">
        <f>COUNTIF(K5:K35,"Urlaub")</f>
        <v/>
      </c>
      <c r="L40" s="30">
        <f>COUNTIF(L5:L35,"Urlaub")</f>
        <v/>
      </c>
    </row>
  </sheetData>
  <mergeCells count="2">
    <mergeCell ref="A2:M2"/>
    <mergeCell ref="A1:M1"/>
  </mergeCells>
  <conditionalFormatting sqref="C5:L35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5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November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5" t="n">
        <v>46327</v>
      </c>
      <c r="B5" s="26" t="inlineStr">
        <is>
          <t>Sonntag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27">
        <f>COUNTIF(C5:L5,"Büro")</f>
        <v/>
      </c>
    </row>
    <row r="6">
      <c r="A6" s="24" t="n">
        <v>46328</v>
      </c>
      <c r="B6" s="9" t="inlineStr">
        <is>
          <t>Montag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4" t="n">
        <v>46329</v>
      </c>
      <c r="B7" s="9" t="inlineStr">
        <is>
          <t>Dienstag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4" t="n">
        <v>46330</v>
      </c>
      <c r="B8" s="9" t="inlineStr">
        <is>
          <t>Mittwoch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4" t="n">
        <v>46331</v>
      </c>
      <c r="B9" s="9" t="inlineStr">
        <is>
          <t>Donnerstag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COUNTIF(C9:L9,"Büro")</f>
        <v/>
      </c>
    </row>
    <row r="10">
      <c r="A10" s="24" t="n">
        <v>46332</v>
      </c>
      <c r="B10" s="9" t="inlineStr">
        <is>
          <t>Freitag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COUNTIF(C10:L10,"Büro")</f>
        <v/>
      </c>
    </row>
    <row r="11">
      <c r="A11" s="25" t="n">
        <v>46333</v>
      </c>
      <c r="B11" s="26" t="inlineStr">
        <is>
          <t>Samstag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27">
        <f>COUNTIF(C11:L11,"Büro")</f>
        <v/>
      </c>
    </row>
    <row r="12">
      <c r="A12" s="25" t="n">
        <v>46334</v>
      </c>
      <c r="B12" s="26" t="inlineStr">
        <is>
          <t>Sonntag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27">
        <f>COUNTIF(C12:L12,"Büro")</f>
        <v/>
      </c>
    </row>
    <row r="13">
      <c r="A13" s="24" t="n">
        <v>46335</v>
      </c>
      <c r="B13" s="9" t="inlineStr">
        <is>
          <t>Montag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46336</v>
      </c>
      <c r="B14" s="9" t="inlineStr">
        <is>
          <t>Dienstag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4" t="n">
        <v>46337</v>
      </c>
      <c r="B15" s="9" t="inlineStr">
        <is>
          <t>Mittwoch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4" t="n">
        <v>46338</v>
      </c>
      <c r="B16" s="9" t="inlineStr">
        <is>
          <t>Donnerstag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COUNTIF(C16:L16,"Büro")</f>
        <v/>
      </c>
    </row>
    <row r="17">
      <c r="A17" s="24" t="n">
        <v>46339</v>
      </c>
      <c r="B17" s="9" t="inlineStr">
        <is>
          <t>Freitag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COUNTIF(C17:L17,"Büro")</f>
        <v/>
      </c>
    </row>
    <row r="18">
      <c r="A18" s="25" t="n">
        <v>46340</v>
      </c>
      <c r="B18" s="26" t="inlineStr">
        <is>
          <t>Samstag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7">
        <f>COUNTIF(C18:L18,"Büro")</f>
        <v/>
      </c>
    </row>
    <row r="19">
      <c r="A19" s="25" t="n">
        <v>46341</v>
      </c>
      <c r="B19" s="26" t="inlineStr">
        <is>
          <t>Sonntag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7">
        <f>COUNTIF(C19:L19,"Büro")</f>
        <v/>
      </c>
    </row>
    <row r="20">
      <c r="A20" s="24" t="n">
        <v>46342</v>
      </c>
      <c r="B20" s="9" t="inlineStr">
        <is>
          <t>Montag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46343</v>
      </c>
      <c r="B21" s="9" t="inlineStr">
        <is>
          <t>Dienstag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4" t="n">
        <v>46344</v>
      </c>
      <c r="B22" s="9" t="inlineStr">
        <is>
          <t>Mittwoch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4" t="n">
        <v>46345</v>
      </c>
      <c r="B23" s="9" t="inlineStr">
        <is>
          <t>Donnerstag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COUNTIF(C23:L23,"Büro")</f>
        <v/>
      </c>
    </row>
    <row r="24">
      <c r="A24" s="24" t="n">
        <v>46346</v>
      </c>
      <c r="B24" s="9" t="inlineStr">
        <is>
          <t>Freitag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COUNTIF(C24:L24,"Büro")</f>
        <v/>
      </c>
    </row>
    <row r="25">
      <c r="A25" s="25" t="n">
        <v>46347</v>
      </c>
      <c r="B25" s="26" t="inlineStr">
        <is>
          <t>Samstag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27">
        <f>COUNTIF(C25:L25,"Büro")</f>
        <v/>
      </c>
    </row>
    <row r="26">
      <c r="A26" s="25" t="n">
        <v>46348</v>
      </c>
      <c r="B26" s="26" t="inlineStr">
        <is>
          <t>Sonntag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7">
        <f>COUNTIF(C26:L26,"Büro")</f>
        <v/>
      </c>
    </row>
    <row r="27">
      <c r="A27" s="24" t="n">
        <v>46349</v>
      </c>
      <c r="B27" s="9" t="inlineStr">
        <is>
          <t>Montag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46350</v>
      </c>
      <c r="B28" s="9" t="inlineStr">
        <is>
          <t>Dienstag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4" t="n">
        <v>46351</v>
      </c>
      <c r="B29" s="9" t="inlineStr">
        <is>
          <t>Mittwoch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COUNTIF(C29:L29,"Büro")</f>
        <v/>
      </c>
    </row>
    <row r="30">
      <c r="A30" s="24" t="n">
        <v>46352</v>
      </c>
      <c r="B30" s="9" t="inlineStr">
        <is>
          <t>Donnerstag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COUNTIF(C30:L30,"Büro")</f>
        <v/>
      </c>
    </row>
    <row r="31">
      <c r="A31" s="24" t="n">
        <v>46353</v>
      </c>
      <c r="B31" s="9" t="inlineStr">
        <is>
          <t>Freitag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COUNTIF(C31:L31,"Büro")</f>
        <v/>
      </c>
    </row>
    <row r="32">
      <c r="A32" s="25" t="n">
        <v>46354</v>
      </c>
      <c r="B32" s="26" t="inlineStr">
        <is>
          <t>Samstag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27">
        <f>COUNTIF(C32:L32,"Büro")</f>
        <v/>
      </c>
    </row>
    <row r="33">
      <c r="A33" s="25" t="n">
        <v>46355</v>
      </c>
      <c r="B33" s="26" t="inlineStr">
        <is>
          <t>Sonntag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27">
        <f>COUNTIF(C33:L33,"Büro")</f>
        <v/>
      </c>
    </row>
    <row r="34">
      <c r="A34" s="24" t="n">
        <v>46356</v>
      </c>
      <c r="B34" s="9" t="inlineStr">
        <is>
          <t>Montag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6">
      <c r="A36" s="28" t="n"/>
      <c r="B36" s="29" t="inlineStr">
        <is>
          <t>Summe Büro</t>
        </is>
      </c>
      <c r="C36" s="30">
        <f>COUNTIF(C5:C34,"Büro")</f>
        <v/>
      </c>
      <c r="D36" s="30">
        <f>COUNTIF(D5:D34,"Büro")</f>
        <v/>
      </c>
      <c r="E36" s="30">
        <f>COUNTIF(E5:E34,"Büro")</f>
        <v/>
      </c>
      <c r="F36" s="30">
        <f>COUNTIF(F5:F34,"Büro")</f>
        <v/>
      </c>
      <c r="G36" s="30">
        <f>COUNTIF(G5:G34,"Büro")</f>
        <v/>
      </c>
      <c r="H36" s="30">
        <f>COUNTIF(H5:H34,"Büro")</f>
        <v/>
      </c>
      <c r="I36" s="30">
        <f>COUNTIF(I5:I34,"Büro")</f>
        <v/>
      </c>
      <c r="J36" s="30">
        <f>COUNTIF(J5:J34,"Büro")</f>
        <v/>
      </c>
      <c r="K36" s="30">
        <f>COUNTIF(K5:K34,"Büro")</f>
        <v/>
      </c>
      <c r="L36" s="30">
        <f>COUNTIF(L5:L34,"Büro")</f>
        <v/>
      </c>
    </row>
    <row r="37">
      <c r="A37" s="28" t="n"/>
      <c r="B37" s="29" t="inlineStr">
        <is>
          <t>Summe Homeoffice</t>
        </is>
      </c>
      <c r="C37" s="30">
        <f>COUNTIF(C5:C34,"Homeoffice")</f>
        <v/>
      </c>
      <c r="D37" s="30">
        <f>COUNTIF(D5:D34,"Homeoffice")</f>
        <v/>
      </c>
      <c r="E37" s="30">
        <f>COUNTIF(E5:E34,"Homeoffice")</f>
        <v/>
      </c>
      <c r="F37" s="30">
        <f>COUNTIF(F5:F34,"Homeoffice")</f>
        <v/>
      </c>
      <c r="G37" s="30">
        <f>COUNTIF(G5:G34,"Homeoffice")</f>
        <v/>
      </c>
      <c r="H37" s="30">
        <f>COUNTIF(H5:H34,"Homeoffice")</f>
        <v/>
      </c>
      <c r="I37" s="30">
        <f>COUNTIF(I5:I34,"Homeoffice")</f>
        <v/>
      </c>
      <c r="J37" s="30">
        <f>COUNTIF(J5:J34,"Homeoffice")</f>
        <v/>
      </c>
      <c r="K37" s="30">
        <f>COUNTIF(K5:K34,"Homeoffice")</f>
        <v/>
      </c>
      <c r="L37" s="30">
        <f>COUNTIF(L5:L34,"Homeoffice")</f>
        <v/>
      </c>
    </row>
    <row r="38">
      <c r="A38" s="28" t="n"/>
      <c r="B38" s="29" t="inlineStr">
        <is>
          <t>Summe Krank</t>
        </is>
      </c>
      <c r="C38" s="30">
        <f>COUNTIF(C5:C34,"Krank")</f>
        <v/>
      </c>
      <c r="D38" s="30">
        <f>COUNTIF(D5:D34,"Krank")</f>
        <v/>
      </c>
      <c r="E38" s="30">
        <f>COUNTIF(E5:E34,"Krank")</f>
        <v/>
      </c>
      <c r="F38" s="30">
        <f>COUNTIF(F5:F34,"Krank")</f>
        <v/>
      </c>
      <c r="G38" s="30">
        <f>COUNTIF(G5:G34,"Krank")</f>
        <v/>
      </c>
      <c r="H38" s="30">
        <f>COUNTIF(H5:H34,"Krank")</f>
        <v/>
      </c>
      <c r="I38" s="30">
        <f>COUNTIF(I5:I34,"Krank")</f>
        <v/>
      </c>
      <c r="J38" s="30">
        <f>COUNTIF(J5:J34,"Krank")</f>
        <v/>
      </c>
      <c r="K38" s="30">
        <f>COUNTIF(K5:K34,"Krank")</f>
        <v/>
      </c>
      <c r="L38" s="30">
        <f>COUNTIF(L5:L34,"Krank")</f>
        <v/>
      </c>
    </row>
    <row r="39">
      <c r="A39" s="28" t="n"/>
      <c r="B39" s="29" t="inlineStr">
        <is>
          <t>Summe Urlaub</t>
        </is>
      </c>
      <c r="C39" s="30">
        <f>COUNTIF(C5:C34,"Urlaub")</f>
        <v/>
      </c>
      <c r="D39" s="30">
        <f>COUNTIF(D5:D34,"Urlaub")</f>
        <v/>
      </c>
      <c r="E39" s="30">
        <f>COUNTIF(E5:E34,"Urlaub")</f>
        <v/>
      </c>
      <c r="F39" s="30">
        <f>COUNTIF(F5:F34,"Urlaub")</f>
        <v/>
      </c>
      <c r="G39" s="30">
        <f>COUNTIF(G5:G34,"Urlaub")</f>
        <v/>
      </c>
      <c r="H39" s="30">
        <f>COUNTIF(H5:H34,"Urlaub")</f>
        <v/>
      </c>
      <c r="I39" s="30">
        <f>COUNTIF(I5:I34,"Urlaub")</f>
        <v/>
      </c>
      <c r="J39" s="30">
        <f>COUNTIF(J5:J34,"Urlaub")</f>
        <v/>
      </c>
      <c r="K39" s="30">
        <f>COUNTIF(K5:K34,"Urlaub")</f>
        <v/>
      </c>
      <c r="L39" s="30">
        <f>COUNTIF(L5:L34,"Urlaub")</f>
        <v/>
      </c>
    </row>
  </sheetData>
  <mergeCells count="2">
    <mergeCell ref="A2:M2"/>
    <mergeCell ref="A1:M1"/>
  </mergeCells>
  <conditionalFormatting sqref="C5:L34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4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24" customHeight="1">
      <c r="A1" s="14" t="inlineStr">
        <is>
          <t>Bürobelegungsplaner 2026 – Dezember</t>
        </is>
      </c>
    </row>
    <row r="2">
      <c r="A2" s="13" t="inlineStr">
        <is>
          <t>Bitte je Tag den Status aus dem Dropdown wählen:  Büro | Homeoffice | Krank | Urlaub</t>
        </is>
      </c>
    </row>
    <row r="4" ht="30" customHeight="1">
      <c r="A4" s="20" t="inlineStr">
        <is>
          <t>Datum</t>
        </is>
      </c>
      <c r="B4" s="20" t="inlineStr">
        <is>
          <t>Wochentag</t>
        </is>
      </c>
      <c r="C4" s="20">
        <f>Jahresübersicht!$A$4</f>
        <v/>
      </c>
      <c r="D4" s="20">
        <f>Jahresübersicht!$A$5</f>
        <v/>
      </c>
      <c r="E4" s="20">
        <f>Jahresübersicht!$A$6</f>
        <v/>
      </c>
      <c r="F4" s="20">
        <f>Jahresübersicht!$A$7</f>
        <v/>
      </c>
      <c r="G4" s="20">
        <f>Jahresübersicht!$A$8</f>
        <v/>
      </c>
      <c r="H4" s="20">
        <f>Jahresübersicht!$A$9</f>
        <v/>
      </c>
      <c r="I4" s="20">
        <f>Jahresübersicht!$A$10</f>
        <v/>
      </c>
      <c r="J4" s="20">
        <f>Jahresübersicht!$A$11</f>
        <v/>
      </c>
      <c r="K4" s="20">
        <f>Jahresübersicht!$A$12</f>
        <v/>
      </c>
      <c r="L4" s="20">
        <f>Jahresübersicht!$A$13</f>
        <v/>
      </c>
      <c r="M4" s="20" t="inlineStr">
        <is>
          <t>Im Büro (Anzahl)</t>
        </is>
      </c>
    </row>
    <row r="5">
      <c r="A5" s="24" t="n">
        <v>46357</v>
      </c>
      <c r="B5" s="9" t="inlineStr">
        <is>
          <t>Dienstag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COUNTIF(C5:L5,"Büro")</f>
        <v/>
      </c>
    </row>
    <row r="6">
      <c r="A6" s="24" t="n">
        <v>46358</v>
      </c>
      <c r="B6" s="9" t="inlineStr">
        <is>
          <t>Mittwoch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COUNTIF(C6:L6,"Büro")</f>
        <v/>
      </c>
    </row>
    <row r="7">
      <c r="A7" s="24" t="n">
        <v>46359</v>
      </c>
      <c r="B7" s="9" t="inlineStr">
        <is>
          <t>Donnerstag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COUNTIF(C7:L7,"Büro")</f>
        <v/>
      </c>
    </row>
    <row r="8">
      <c r="A8" s="24" t="n">
        <v>46360</v>
      </c>
      <c r="B8" s="9" t="inlineStr">
        <is>
          <t>Freitag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COUNTIF(C8:L8,"Büro")</f>
        <v/>
      </c>
    </row>
    <row r="9">
      <c r="A9" s="25" t="n">
        <v>46361</v>
      </c>
      <c r="B9" s="26" t="inlineStr">
        <is>
          <t>Samstag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27">
        <f>COUNTIF(C9:L9,"Büro")</f>
        <v/>
      </c>
    </row>
    <row r="10">
      <c r="A10" s="25" t="n">
        <v>46362</v>
      </c>
      <c r="B10" s="26" t="inlineStr">
        <is>
          <t>Sonntag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27">
        <f>COUNTIF(C10:L10,"Büro")</f>
        <v/>
      </c>
    </row>
    <row r="11">
      <c r="A11" s="24" t="n">
        <v>46363</v>
      </c>
      <c r="B11" s="9" t="inlineStr">
        <is>
          <t>Montag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COUNTIF(C11:L11,"Büro")</f>
        <v/>
      </c>
    </row>
    <row r="12">
      <c r="A12" s="24" t="n">
        <v>46364</v>
      </c>
      <c r="B12" s="9" t="inlineStr">
        <is>
          <t>Dienstag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COUNTIF(C12:L12,"Büro")</f>
        <v/>
      </c>
    </row>
    <row r="13">
      <c r="A13" s="24" t="n">
        <v>46365</v>
      </c>
      <c r="B13" s="9" t="inlineStr">
        <is>
          <t>Mittwoch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COUNTIF(C13:L13,"Büro")</f>
        <v/>
      </c>
    </row>
    <row r="14">
      <c r="A14" s="24" t="n">
        <v>46366</v>
      </c>
      <c r="B14" s="9" t="inlineStr">
        <is>
          <t>Donnerstag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COUNTIF(C14:L14,"Büro")</f>
        <v/>
      </c>
    </row>
    <row r="15">
      <c r="A15" s="24" t="n">
        <v>46367</v>
      </c>
      <c r="B15" s="9" t="inlineStr">
        <is>
          <t>Freitag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COUNTIF(C15:L15,"Büro")</f>
        <v/>
      </c>
    </row>
    <row r="16">
      <c r="A16" s="25" t="n">
        <v>46368</v>
      </c>
      <c r="B16" s="26" t="inlineStr">
        <is>
          <t>Samstag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27">
        <f>COUNTIF(C16:L16,"Büro")</f>
        <v/>
      </c>
    </row>
    <row r="17">
      <c r="A17" s="25" t="n">
        <v>46369</v>
      </c>
      <c r="B17" s="26" t="inlineStr">
        <is>
          <t>Sonntag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7">
        <f>COUNTIF(C17:L17,"Büro")</f>
        <v/>
      </c>
    </row>
    <row r="18">
      <c r="A18" s="24" t="n">
        <v>46370</v>
      </c>
      <c r="B18" s="9" t="inlineStr">
        <is>
          <t>Montag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COUNTIF(C18:L18,"Büro")</f>
        <v/>
      </c>
    </row>
    <row r="19">
      <c r="A19" s="24" t="n">
        <v>46371</v>
      </c>
      <c r="B19" s="9" t="inlineStr">
        <is>
          <t>Dienstag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COUNTIF(C19:L19,"Büro")</f>
        <v/>
      </c>
    </row>
    <row r="20">
      <c r="A20" s="24" t="n">
        <v>46372</v>
      </c>
      <c r="B20" s="9" t="inlineStr">
        <is>
          <t>Mittwoch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COUNTIF(C20:L20,"Büro")</f>
        <v/>
      </c>
    </row>
    <row r="21">
      <c r="A21" s="24" t="n">
        <v>46373</v>
      </c>
      <c r="B21" s="9" t="inlineStr">
        <is>
          <t>Donnerstag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COUNTIF(C21:L21,"Büro")</f>
        <v/>
      </c>
    </row>
    <row r="22">
      <c r="A22" s="24" t="n">
        <v>46374</v>
      </c>
      <c r="B22" s="9" t="inlineStr">
        <is>
          <t>Freitag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COUNTIF(C22:L22,"Büro")</f>
        <v/>
      </c>
    </row>
    <row r="23">
      <c r="A23" s="25" t="n">
        <v>46375</v>
      </c>
      <c r="B23" s="26" t="inlineStr">
        <is>
          <t>Samstag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27">
        <f>COUNTIF(C23:L23,"Büro")</f>
        <v/>
      </c>
    </row>
    <row r="24">
      <c r="A24" s="25" t="n">
        <v>46376</v>
      </c>
      <c r="B24" s="26" t="inlineStr">
        <is>
          <t>Sonntag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27">
        <f>COUNTIF(C24:L24,"Büro")</f>
        <v/>
      </c>
    </row>
    <row r="25">
      <c r="A25" s="24" t="n">
        <v>46377</v>
      </c>
      <c r="B25" s="9" t="inlineStr">
        <is>
          <t>Montag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COUNTIF(C25:L25,"Büro")</f>
        <v/>
      </c>
    </row>
    <row r="26">
      <c r="A26" s="24" t="n">
        <v>46378</v>
      </c>
      <c r="B26" s="9" t="inlineStr">
        <is>
          <t>Dienstag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COUNTIF(C26:L26,"Büro")</f>
        <v/>
      </c>
    </row>
    <row r="27">
      <c r="A27" s="24" t="n">
        <v>46379</v>
      </c>
      <c r="B27" s="9" t="inlineStr">
        <is>
          <t>Mittwoch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COUNTIF(C27:L27,"Büro")</f>
        <v/>
      </c>
    </row>
    <row r="28">
      <c r="A28" s="24" t="n">
        <v>46380</v>
      </c>
      <c r="B28" s="9" t="inlineStr">
        <is>
          <t>Donnerstag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COUNTIF(C28:L28,"Büro")</f>
        <v/>
      </c>
    </row>
    <row r="29">
      <c r="A29" s="21" t="n">
        <v>46381</v>
      </c>
      <c r="B29" s="22" t="inlineStr">
        <is>
          <t>Freitag · 1. Weihnachtstag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23">
        <f>COUNTIF(C29:L29,"Büro")</f>
        <v/>
      </c>
    </row>
    <row r="30">
      <c r="A30" s="21" t="n">
        <v>46382</v>
      </c>
      <c r="B30" s="22" t="inlineStr">
        <is>
          <t>Samstag · 2. Weihnachtstag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23">
        <f>COUNTIF(C30:L30,"Büro")</f>
        <v/>
      </c>
    </row>
    <row r="31">
      <c r="A31" s="25" t="n">
        <v>46383</v>
      </c>
      <c r="B31" s="26" t="inlineStr">
        <is>
          <t>Sonntag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27">
        <f>COUNTIF(C31:L31,"Büro")</f>
        <v/>
      </c>
    </row>
    <row r="32">
      <c r="A32" s="24" t="n">
        <v>46384</v>
      </c>
      <c r="B32" s="9" t="inlineStr">
        <is>
          <t>Montag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COUNTIF(C32:L32,"Büro")</f>
        <v/>
      </c>
    </row>
    <row r="33">
      <c r="A33" s="24" t="n">
        <v>46385</v>
      </c>
      <c r="B33" s="9" t="inlineStr">
        <is>
          <t>Dienstag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COUNTIF(C33:L33,"Büro")</f>
        <v/>
      </c>
    </row>
    <row r="34">
      <c r="A34" s="24" t="n">
        <v>46386</v>
      </c>
      <c r="B34" s="9" t="inlineStr">
        <is>
          <t>Mittwoch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COUNTIF(C34:L34,"Büro")</f>
        <v/>
      </c>
    </row>
    <row r="35">
      <c r="A35" s="24" t="n">
        <v>46387</v>
      </c>
      <c r="B35" s="9" t="inlineStr">
        <is>
          <t>Donnerstag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COUNTIF(C35:L35,"Büro")</f>
        <v/>
      </c>
    </row>
    <row r="37">
      <c r="A37" s="28" t="n"/>
      <c r="B37" s="29" t="inlineStr">
        <is>
          <t>Summe Büro</t>
        </is>
      </c>
      <c r="C37" s="30">
        <f>COUNTIF(C5:C35,"Büro")</f>
        <v/>
      </c>
      <c r="D37" s="30">
        <f>COUNTIF(D5:D35,"Büro")</f>
        <v/>
      </c>
      <c r="E37" s="30">
        <f>COUNTIF(E5:E35,"Büro")</f>
        <v/>
      </c>
      <c r="F37" s="30">
        <f>COUNTIF(F5:F35,"Büro")</f>
        <v/>
      </c>
      <c r="G37" s="30">
        <f>COUNTIF(G5:G35,"Büro")</f>
        <v/>
      </c>
      <c r="H37" s="30">
        <f>COUNTIF(H5:H35,"Büro")</f>
        <v/>
      </c>
      <c r="I37" s="30">
        <f>COUNTIF(I5:I35,"Büro")</f>
        <v/>
      </c>
      <c r="J37" s="30">
        <f>COUNTIF(J5:J35,"Büro")</f>
        <v/>
      </c>
      <c r="K37" s="30">
        <f>COUNTIF(K5:K35,"Büro")</f>
        <v/>
      </c>
      <c r="L37" s="30">
        <f>COUNTIF(L5:L35,"Büro")</f>
        <v/>
      </c>
    </row>
    <row r="38">
      <c r="A38" s="28" t="n"/>
      <c r="B38" s="29" t="inlineStr">
        <is>
          <t>Summe Homeoffice</t>
        </is>
      </c>
      <c r="C38" s="30">
        <f>COUNTIF(C5:C35,"Homeoffice")</f>
        <v/>
      </c>
      <c r="D38" s="30">
        <f>COUNTIF(D5:D35,"Homeoffice")</f>
        <v/>
      </c>
      <c r="E38" s="30">
        <f>COUNTIF(E5:E35,"Homeoffice")</f>
        <v/>
      </c>
      <c r="F38" s="30">
        <f>COUNTIF(F5:F35,"Homeoffice")</f>
        <v/>
      </c>
      <c r="G38" s="30">
        <f>COUNTIF(G5:G35,"Homeoffice")</f>
        <v/>
      </c>
      <c r="H38" s="30">
        <f>COUNTIF(H5:H35,"Homeoffice")</f>
        <v/>
      </c>
      <c r="I38" s="30">
        <f>COUNTIF(I5:I35,"Homeoffice")</f>
        <v/>
      </c>
      <c r="J38" s="30">
        <f>COUNTIF(J5:J35,"Homeoffice")</f>
        <v/>
      </c>
      <c r="K38" s="30">
        <f>COUNTIF(K5:K35,"Homeoffice")</f>
        <v/>
      </c>
      <c r="L38" s="30">
        <f>COUNTIF(L5:L35,"Homeoffice")</f>
        <v/>
      </c>
    </row>
    <row r="39">
      <c r="A39" s="28" t="n"/>
      <c r="B39" s="29" t="inlineStr">
        <is>
          <t>Summe Krank</t>
        </is>
      </c>
      <c r="C39" s="30">
        <f>COUNTIF(C5:C35,"Krank")</f>
        <v/>
      </c>
      <c r="D39" s="30">
        <f>COUNTIF(D5:D35,"Krank")</f>
        <v/>
      </c>
      <c r="E39" s="30">
        <f>COUNTIF(E5:E35,"Krank")</f>
        <v/>
      </c>
      <c r="F39" s="30">
        <f>COUNTIF(F5:F35,"Krank")</f>
        <v/>
      </c>
      <c r="G39" s="30">
        <f>COUNTIF(G5:G35,"Krank")</f>
        <v/>
      </c>
      <c r="H39" s="30">
        <f>COUNTIF(H5:H35,"Krank")</f>
        <v/>
      </c>
      <c r="I39" s="30">
        <f>COUNTIF(I5:I35,"Krank")</f>
        <v/>
      </c>
      <c r="J39" s="30">
        <f>COUNTIF(J5:J35,"Krank")</f>
        <v/>
      </c>
      <c r="K39" s="30">
        <f>COUNTIF(K5:K35,"Krank")</f>
        <v/>
      </c>
      <c r="L39" s="30">
        <f>COUNTIF(L5:L35,"Krank")</f>
        <v/>
      </c>
    </row>
    <row r="40">
      <c r="A40" s="28" t="n"/>
      <c r="B40" s="29" t="inlineStr">
        <is>
          <t>Summe Urlaub</t>
        </is>
      </c>
      <c r="C40" s="30">
        <f>COUNTIF(C5:C35,"Urlaub")</f>
        <v/>
      </c>
      <c r="D40" s="30">
        <f>COUNTIF(D5:D35,"Urlaub")</f>
        <v/>
      </c>
      <c r="E40" s="30">
        <f>COUNTIF(E5:E35,"Urlaub")</f>
        <v/>
      </c>
      <c r="F40" s="30">
        <f>COUNTIF(F5:F35,"Urlaub")</f>
        <v/>
      </c>
      <c r="G40" s="30">
        <f>COUNTIF(G5:G35,"Urlaub")</f>
        <v/>
      </c>
      <c r="H40" s="30">
        <f>COUNTIF(H5:H35,"Urlaub")</f>
        <v/>
      </c>
      <c r="I40" s="30">
        <f>COUNTIF(I5:I35,"Urlaub")</f>
        <v/>
      </c>
      <c r="J40" s="30">
        <f>COUNTIF(J5:J35,"Urlaub")</f>
        <v/>
      </c>
      <c r="K40" s="30">
        <f>COUNTIF(K5:K35,"Urlaub")</f>
        <v/>
      </c>
      <c r="L40" s="30">
        <f>COUNTIF(L5:L35,"Urlaub")</f>
        <v/>
      </c>
    </row>
  </sheetData>
  <mergeCells count="2">
    <mergeCell ref="A2:M2"/>
    <mergeCell ref="A1:M1"/>
  </mergeCells>
  <conditionalFormatting sqref="C5:L35">
    <cfRule type="cellIs" priority="1" operator="equal" dxfId="0">
      <formula>"Büro"</formula>
    </cfRule>
    <cfRule type="cellIs" priority="2" operator="equal" dxfId="1">
      <formula>"Homeoffice"</formula>
    </cfRule>
    <cfRule type="cellIs" priority="3" operator="equal" dxfId="2">
      <formula>"Krank"</formula>
    </cfRule>
    <cfRule type="cellIs" priority="4" operator="equal" dxfId="3">
      <formula>"Urlaub"</formula>
    </cfRule>
  </conditionalFormatting>
  <dataValidations count="1">
    <dataValidation sqref="C5:L35" showDropDown="0" showInputMessage="0" showErrorMessage="0" allowBlank="1" errorTitle="Ungültige Eingabe" error="Bitte einen Status aus der Liste wählen." promptTitle="Status" prompt="Status wählen: Büro, Homeoffice, Krank oder Urlaub" type="list">
      <formula1>"Büro,Homeoffice,Krank,Urlaub"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2026-07-24T11:50:22Z</dcterms:created>
  <dcterms:modified xsi:type="dcterms:W3CDTF">2026-07-24T11:50:23Z</dcterms:modified>
</cp:coreProperties>
</file>